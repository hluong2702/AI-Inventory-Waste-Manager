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hoangluong/Documents/AI Inventory &amp; Waste Manager/"/>
    </mc:Choice>
  </mc:AlternateContent>
  <xr:revisionPtr revIDLastSave="0" documentId="8_{DB1CD0D2-C0E7-8D4E-BB69-51771DF97AD3}" xr6:coauthVersionLast="47" xr6:coauthVersionMax="47" xr10:uidLastSave="{00000000-0000-0000-0000-000000000000}"/>
  <bookViews>
    <workbookView xWindow="0" yWindow="660" windowWidth="30240" windowHeight="18260" activeTab="3" xr2:uid="{00000000-000D-0000-FFFF-FFFF00000000}"/>
  </bookViews>
  <sheets>
    <sheet name="0. Roadmap" sheetId="1" r:id="rId1"/>
    <sheet name="1. Project Charter" sheetId="2" r:id="rId2"/>
    <sheet name="2. Master Planxxx" sheetId="3" r:id="rId3"/>
    <sheet name="2. Price" sheetId="4" r:id="rId4"/>
    <sheet name="3. Master Plan" sheetId="5" r:id="rId5"/>
    <sheet name="4. Nhân sự dự án" sheetId="6" r:id="rId6"/>
    <sheet name="7. Cập nhật tiến độ" sheetId="7" r:id="rId7"/>
  </sheets>
  <definedNames>
    <definedName name="nextDate">#REF!</definedName>
    <definedName name="pEnd">#REF!</definedName>
    <definedName name="thisDate">#REF!</definedName>
    <definedName name="valuevx">42.314159</definedName>
    <definedName name="vertex42_copyright">"© 2017 Vertex42 LLC"</definedName>
    <definedName name="vertex42_id">"project-planner.xlsx"</definedName>
    <definedName name="vertex42_title">"Project Planner Template"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7" l="1"/>
  <c r="A15" i="7" s="1"/>
  <c r="A16" i="7" s="1"/>
  <c r="A17" i="7" s="1"/>
  <c r="A18" i="7" s="1"/>
  <c r="A19" i="7" s="1"/>
  <c r="K9" i="7"/>
  <c r="K8" i="7"/>
  <c r="K7" i="7"/>
  <c r="K6" i="7"/>
  <c r="K5" i="7"/>
  <c r="K4" i="7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M7" i="5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M6" i="5"/>
  <c r="M5" i="5"/>
  <c r="N5" i="5" s="1"/>
  <c r="E53" i="4"/>
  <c r="D53" i="4"/>
  <c r="A16" i="4"/>
  <c r="A13" i="4"/>
  <c r="A14" i="4" s="1"/>
  <c r="A15" i="4" s="1"/>
  <c r="C6" i="3"/>
  <c r="K10" i="7" l="1"/>
  <c r="O5" i="5"/>
  <c r="N6" i="5"/>
  <c r="P5" i="5" l="1"/>
  <c r="O6" i="5"/>
  <c r="Q5" i="5" l="1"/>
  <c r="P6" i="5"/>
  <c r="Q6" i="5" l="1"/>
  <c r="R5" i="5"/>
  <c r="R6" i="5" l="1"/>
  <c r="S5" i="5"/>
  <c r="T5" i="5" l="1"/>
  <c r="S6" i="5"/>
  <c r="T6" i="5" l="1"/>
  <c r="U5" i="5"/>
  <c r="U6" i="5" l="1"/>
  <c r="V5" i="5"/>
  <c r="W5" i="5" l="1"/>
  <c r="V6" i="5"/>
  <c r="X5" i="5" l="1"/>
  <c r="W6" i="5"/>
  <c r="Y5" i="5" l="1"/>
  <c r="X6" i="5"/>
  <c r="Y6" i="5" l="1"/>
  <c r="Z5" i="5"/>
  <c r="Z6" i="5" l="1"/>
  <c r="AA5" i="5"/>
  <c r="AB5" i="5" l="1"/>
  <c r="AA6" i="5"/>
  <c r="AC5" i="5" l="1"/>
  <c r="AB6" i="5"/>
  <c r="AD5" i="5" l="1"/>
  <c r="AC6" i="5"/>
  <c r="AE5" i="5" l="1"/>
  <c r="AD6" i="5"/>
  <c r="AF5" i="5" l="1"/>
  <c r="AE6" i="5"/>
  <c r="AG5" i="5" l="1"/>
  <c r="AF6" i="5"/>
  <c r="AG6" i="5" l="1"/>
  <c r="AH5" i="5"/>
  <c r="AH6" i="5" l="1"/>
  <c r="AI5" i="5"/>
  <c r="AJ5" i="5" l="1"/>
  <c r="AI6" i="5"/>
  <c r="AJ6" i="5" l="1"/>
  <c r="AK5" i="5"/>
  <c r="AL5" i="5" l="1"/>
  <c r="AK6" i="5"/>
  <c r="AM5" i="5" l="1"/>
  <c r="AL6" i="5"/>
  <c r="AN5" i="5" l="1"/>
  <c r="AM6" i="5"/>
  <c r="AO5" i="5" l="1"/>
  <c r="AN6" i="5"/>
  <c r="AP5" i="5" l="1"/>
  <c r="AO6" i="5"/>
  <c r="AP6" i="5" l="1"/>
  <c r="AQ5" i="5"/>
  <c r="AR5" i="5" l="1"/>
  <c r="AQ6" i="5"/>
  <c r="AS5" i="5" l="1"/>
  <c r="AR6" i="5"/>
  <c r="AT5" i="5" l="1"/>
  <c r="AS6" i="5"/>
  <c r="AU5" i="5" l="1"/>
  <c r="AT6" i="5"/>
  <c r="AV5" i="5" l="1"/>
  <c r="AU6" i="5"/>
  <c r="AW5" i="5" l="1"/>
  <c r="AV6" i="5"/>
  <c r="AX5" i="5" l="1"/>
  <c r="AW6" i="5"/>
  <c r="AX6" i="5" l="1"/>
  <c r="AY5" i="5"/>
  <c r="AZ5" i="5" l="1"/>
  <c r="AY6" i="5"/>
  <c r="AZ6" i="5" l="1"/>
  <c r="BA5" i="5"/>
  <c r="BB5" i="5" l="1"/>
  <c r="BA6" i="5"/>
  <c r="BC5" i="5" l="1"/>
  <c r="BB6" i="5"/>
  <c r="BD5" i="5" l="1"/>
  <c r="BC6" i="5"/>
  <c r="BE5" i="5" l="1"/>
  <c r="BD6" i="5"/>
  <c r="BF5" i="5" l="1"/>
  <c r="BE6" i="5"/>
  <c r="BF6" i="5" l="1"/>
  <c r="BG5" i="5"/>
  <c r="BH5" i="5" l="1"/>
  <c r="BG6" i="5"/>
  <c r="BI5" i="5" l="1"/>
  <c r="BH6" i="5"/>
  <c r="BJ5" i="5" l="1"/>
  <c r="BI6" i="5"/>
  <c r="BK5" i="5" l="1"/>
  <c r="BJ6" i="5"/>
  <c r="BL5" i="5" l="1"/>
  <c r="BK6" i="5"/>
  <c r="BM5" i="5" l="1"/>
  <c r="BL6" i="5"/>
  <c r="BN5" i="5" l="1"/>
  <c r="BM6" i="5"/>
  <c r="BN6" i="5" l="1"/>
  <c r="BO5" i="5"/>
  <c r="BO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theanh</author>
  </authors>
  <commentList>
    <comment ref="C6" authorId="0" shapeId="0" xr:uid="{00000000-0006-0000-0200-000001000000}">
      <text>
        <r>
          <rPr>
            <sz val="11"/>
            <color theme="1"/>
            <rFont val="Arial"/>
          </rPr>
          <t>======
ID#AAAB9OWCrbg
theanh    (2026-06-29 02:38:24)
Lưu ý tính thêm các ngày nghỉ, CN
Số ngày thêm là 14 CN</t>
        </r>
      </text>
    </comment>
  </commentList>
</comments>
</file>

<file path=xl/sharedStrings.xml><?xml version="1.0" encoding="utf-8"?>
<sst xmlns="http://schemas.openxmlformats.org/spreadsheetml/2006/main" count="651" uniqueCount="433">
  <si>
    <t>PROJECT CHARTER</t>
  </si>
  <si>
    <t>Tên dự án:</t>
  </si>
  <si>
    <t>Đơn vị yêu cầu:</t>
  </si>
  <si>
    <t>Ban chỉ đạo dự án:</t>
  </si>
  <si>
    <t>Giám đốc dự án:</t>
  </si>
  <si>
    <t>Quản trị dự án:</t>
  </si>
  <si>
    <t>Đơn vị triển khai:</t>
  </si>
  <si>
    <t>Ngày bắt đầu:</t>
  </si>
  <si>
    <t>Ngày kết thúc:</t>
  </si>
  <si>
    <t>Mục tiêu dự án cần đạt được:</t>
  </si>
  <si>
    <t xml:space="preserve">  </t>
  </si>
  <si>
    <t>Phạm vi dự án:</t>
  </si>
  <si>
    <t>Phạm vi ngoài dự án:</t>
  </si>
  <si>
    <t>Kinh phí triển khai:</t>
  </si>
  <si>
    <t>Kết quả/sản phẩm cần có:</t>
  </si>
  <si>
    <t>In progress</t>
  </si>
  <si>
    <t>KẾ HOẠCH TỔNG THỂ DỰ ÁN</t>
  </si>
  <si>
    <t>Not start</t>
  </si>
  <si>
    <t>Done</t>
  </si>
  <si>
    <t>Giai Đoạn</t>
  </si>
  <si>
    <t>Các hoạt động chính</t>
  </si>
  <si>
    <t>Trạng thái</t>
  </si>
  <si>
    <t>PIC</t>
  </si>
  <si>
    <t>Deadline</t>
  </si>
  <si>
    <t>Jul</t>
  </si>
  <si>
    <t>Aug</t>
  </si>
  <si>
    <t>Sep</t>
  </si>
  <si>
    <t>Oct</t>
  </si>
  <si>
    <t>Nov</t>
  </si>
  <si>
    <t>Dec</t>
  </si>
  <si>
    <t>Jan</t>
  </si>
  <si>
    <t>Feb</t>
  </si>
  <si>
    <t>Estimate (day)</t>
  </si>
  <si>
    <t>CNTT</t>
  </si>
  <si>
    <t>HCNS</t>
  </si>
  <si>
    <t>W1</t>
  </si>
  <si>
    <t>W2</t>
  </si>
  <si>
    <t>W3</t>
  </si>
  <si>
    <t>W4</t>
  </si>
  <si>
    <t>[42]</t>
  </si>
  <si>
    <t>Project Start:</t>
  </si>
  <si>
    <t>Display:</t>
  </si>
  <si>
    <t>Display Period:</t>
  </si>
  <si>
    <t>DANH SÁCH NHÂN SỰ THAM GIA DỰ ÁN</t>
  </si>
  <si>
    <t>STT</t>
  </si>
  <si>
    <t>Họ Tên</t>
  </si>
  <si>
    <t>Đơn vị/Ban</t>
  </si>
  <si>
    <t>Chức Vụ</t>
  </si>
  <si>
    <t>Vai trò trong dự án</t>
  </si>
  <si>
    <t>Điện thoại</t>
  </si>
  <si>
    <t>Email</t>
  </si>
  <si>
    <t>Ghi chú</t>
  </si>
  <si>
    <r>
      <rPr>
        <b/>
        <sz val="409.55"/>
        <color rgb="FF000000"/>
        <rFont val="Arial"/>
        <family val="2"/>
      </rPr>
      <t xml:space="preserve">Action Tracking Sheet
</t>
    </r>
    <r>
      <rPr>
        <b/>
        <i/>
        <sz val="409.55"/>
        <color rgb="FF000000"/>
        <rFont val="Arial"/>
        <family val="2"/>
      </rPr>
      <t>Nhật ký hoạt động dự án</t>
    </r>
  </si>
  <si>
    <r>
      <rPr>
        <b/>
        <sz val="409.55"/>
        <color rgb="FF000000"/>
        <rFont val="Arial"/>
        <family val="2"/>
      </rPr>
      <t>Status</t>
    </r>
    <r>
      <rPr>
        <b/>
        <i/>
        <sz val="409.55"/>
        <color rgb="FF000000"/>
        <rFont val="Arial"/>
        <family val="2"/>
      </rPr>
      <t xml:space="preserve">
Trạng thái</t>
    </r>
  </si>
  <si>
    <t>Chưa bắt đầu</t>
  </si>
  <si>
    <t>Not Started</t>
  </si>
  <si>
    <t>Đang diễn ra</t>
  </si>
  <si>
    <t>In Progress</t>
  </si>
  <si>
    <t>Hoàn thành</t>
  </si>
  <si>
    <t>Completed</t>
  </si>
  <si>
    <t>Trễ tiến độ &lt; 1 tuần</t>
  </si>
  <si>
    <t>Delay &lt; 1 week</t>
  </si>
  <si>
    <t>Trễ tiến độ &gt; 1 tuần</t>
  </si>
  <si>
    <t>Delay &gt; 1 week</t>
  </si>
  <si>
    <t>Bãi bỏ</t>
  </si>
  <si>
    <t>Dropped</t>
  </si>
  <si>
    <r>
      <rPr>
        <b/>
        <sz val="409.55"/>
        <color rgb="FFFFFFFF"/>
        <rFont val="Arial"/>
        <family val="2"/>
      </rPr>
      <t xml:space="preserve">No.
</t>
    </r>
    <r>
      <rPr>
        <b/>
        <i/>
        <sz val="409.55"/>
        <color rgb="FFFFFFFF"/>
        <rFont val="Arial"/>
        <family val="2"/>
      </rPr>
      <t>STT</t>
    </r>
  </si>
  <si>
    <r>
      <rPr>
        <b/>
        <sz val="409.55"/>
        <color rgb="FFFFFFFF"/>
        <rFont val="Arial"/>
        <family val="2"/>
      </rPr>
      <t xml:space="preserve">Date Raised
</t>
    </r>
    <r>
      <rPr>
        <b/>
        <i/>
        <sz val="409.55"/>
        <color rgb="FFFFFFFF"/>
        <rFont val="Arial"/>
        <family val="2"/>
      </rPr>
      <t>Ngày cập nhật</t>
    </r>
  </si>
  <si>
    <r>
      <rPr>
        <b/>
        <sz val="409.55"/>
        <color rgb="FFFFFFFF"/>
        <rFont val="Arial"/>
        <family val="2"/>
      </rPr>
      <t xml:space="preserve">Source
</t>
    </r>
    <r>
      <rPr>
        <b/>
        <i/>
        <sz val="409.55"/>
        <color rgb="FFFFFFFF"/>
        <rFont val="Arial"/>
        <family val="2"/>
      </rPr>
      <t>Nguồn
(Nội bộ/Ngoài dự án)</t>
    </r>
  </si>
  <si>
    <r>
      <rPr>
        <b/>
        <sz val="409.55"/>
        <color rgb="FFFFFFFF"/>
        <rFont val="Arial"/>
        <family val="2"/>
      </rPr>
      <t xml:space="preserve">Workstream
</t>
    </r>
    <r>
      <rPr>
        <b/>
        <i/>
        <sz val="409.55"/>
        <color rgb="FFFFFFFF"/>
        <rFont val="Arial"/>
        <family val="2"/>
      </rPr>
      <t>Nhóm công việc</t>
    </r>
  </si>
  <si>
    <r>
      <rPr>
        <b/>
        <sz val="409.55"/>
        <color rgb="FFFFFFFF"/>
        <rFont val="Arial"/>
        <family val="2"/>
      </rPr>
      <t xml:space="preserve">Topic
</t>
    </r>
    <r>
      <rPr>
        <b/>
        <i/>
        <sz val="409.55"/>
        <color rgb="FFFFFFFF"/>
        <rFont val="Arial"/>
        <family val="2"/>
      </rPr>
      <t>Chủ đề</t>
    </r>
  </si>
  <si>
    <r>
      <rPr>
        <b/>
        <sz val="409.55"/>
        <color rgb="FFFFFFFF"/>
        <rFont val="Arial"/>
        <family val="2"/>
      </rPr>
      <t xml:space="preserve">Description
</t>
    </r>
    <r>
      <rPr>
        <b/>
        <i/>
        <sz val="409.55"/>
        <color rgb="FFFFFFFF"/>
        <rFont val="Arial"/>
        <family val="2"/>
      </rPr>
      <t>Nội dung</t>
    </r>
  </si>
  <si>
    <r>
      <rPr>
        <b/>
        <sz val="409.55"/>
        <color rgb="FFFFFFFF"/>
        <rFont val="Arial"/>
        <family val="2"/>
      </rPr>
      <t xml:space="preserve">Status
</t>
    </r>
    <r>
      <rPr>
        <b/>
        <i/>
        <sz val="409.55"/>
        <color rgb="FFFFFFFF"/>
        <rFont val="Arial"/>
        <family val="2"/>
      </rPr>
      <t>Trạng thái</t>
    </r>
  </si>
  <si>
    <r>
      <rPr>
        <b/>
        <sz val="409.55"/>
        <color rgb="FFFFFFFF"/>
        <rFont val="Arial"/>
        <family val="2"/>
      </rPr>
      <t xml:space="preserve">Due date
</t>
    </r>
    <r>
      <rPr>
        <b/>
        <i/>
        <sz val="409.55"/>
        <color rgb="FFFFFFFF"/>
        <rFont val="Arial"/>
        <family val="2"/>
      </rPr>
      <t>Ngày kết thúc</t>
    </r>
  </si>
  <si>
    <r>
      <rPr>
        <b/>
        <sz val="409.55"/>
        <color rgb="FFFFFFFF"/>
        <rFont val="Arial"/>
        <family val="2"/>
      </rPr>
      <t>Revised Due Date</t>
    </r>
    <r>
      <rPr>
        <b/>
        <i/>
        <sz val="409.55"/>
        <color rgb="FFFFFFFF"/>
        <rFont val="Arial"/>
        <family val="2"/>
      </rPr>
      <t xml:space="preserve">
Cập nhật lại ngày kết thúc</t>
    </r>
  </si>
  <si>
    <r>
      <rPr>
        <b/>
        <sz val="409.55"/>
        <color rgb="FFFFFFFF"/>
        <rFont val="Arial"/>
        <family val="2"/>
      </rPr>
      <t xml:space="preserve">Owner
</t>
    </r>
    <r>
      <rPr>
        <b/>
        <i/>
        <sz val="409.55"/>
        <color rgb="FFFFFFFF"/>
        <rFont val="Arial"/>
        <family val="2"/>
      </rPr>
      <t>Người chịu trách nhiệm</t>
    </r>
  </si>
  <si>
    <r>
      <rPr>
        <b/>
        <sz val="409.55"/>
        <color rgb="FFFFFFFF"/>
        <rFont val="Arial"/>
        <family val="2"/>
      </rPr>
      <t xml:space="preserve">Comment Tracking
</t>
    </r>
    <r>
      <rPr>
        <b/>
        <i/>
        <sz val="409.55"/>
        <color rgb="FFFFFFFF"/>
        <rFont val="Arial"/>
        <family val="2"/>
      </rPr>
      <t>Thông tin bổ sung</t>
    </r>
  </si>
  <si>
    <t>LỘ TRÌNH SẢN PHẨM AI INVENTORY &amp; WASTE MANAGER 2026-2027</t>
  </si>
  <si>
    <t>Hạng mục / Sáng kiến</t>
  </si>
  <si>
    <t>Nền tảng &amp; bảo mật</t>
  </si>
  <si>
    <t>1.1</t>
  </si>
  <si>
    <t>Kiến trúc multi-tenant, JWT/RBAC và Tenant Context</t>
  </si>
  <si>
    <t>●</t>
  </si>
  <si>
    <t>1.2</t>
  </si>
  <si>
    <t>Cơ sở dữ liệu MySQL, Flyway và Redis</t>
  </si>
  <si>
    <t>Quản lý kho &amp; lãng phí</t>
  </si>
  <si>
    <t>2.1</t>
  </si>
  <si>
    <t>Danh mục nguyên liệu và định mức tồn tối thiểu</t>
  </si>
  <si>
    <t>2.2</t>
  </si>
  <si>
    <t>Nhập kho theo lô, hạn sử dụng và giá vốn</t>
  </si>
  <si>
    <t>2.3</t>
  </si>
  <si>
    <t>Xuất kho FEFO và kiểm soát giao dịch đồng thời</t>
  </si>
  <si>
    <t>2.4</t>
  </si>
  <si>
    <t>Ghi nhận hao hụt và nhật ký giao dịch</t>
  </si>
  <si>
    <t>2.5</t>
  </si>
  <si>
    <t>Cảnh báo tồn thấp và sắp hết hạn</t>
  </si>
  <si>
    <t>Dự báo &amp; báo cáo</t>
  </si>
  <si>
    <t>3.1</t>
  </si>
  <si>
    <t>Dashboard KPI tồn kho và lãng phí</t>
  </si>
  <si>
    <t>3.2</t>
  </si>
  <si>
    <t>Dự báo nhu cầu và khuyến nghị đặt hàng</t>
  </si>
  <si>
    <t>3.3</t>
  </si>
  <si>
    <t>Báo cáo vận hành, audit log và xuất CSV</t>
  </si>
  <si>
    <t>Vận hành SaaS</t>
  </si>
  <si>
    <t>4.1</t>
  </si>
  <si>
    <t>Quản lý cửa hàng và chuyển đổi multi-store</t>
  </si>
  <si>
    <t>4.2</t>
  </si>
  <si>
    <t>Mời nhân viên qua email và đổi mật khẩu lần đầu</t>
  </si>
  <si>
    <t>4.3</t>
  </si>
  <si>
    <t>Subscription, hạn mức gói và thanh toán</t>
  </si>
  <si>
    <t>4.4</t>
  </si>
  <si>
    <t>Trang quản trị hệ thống và quản lý tenant</t>
  </si>
  <si>
    <t>Chất lượng &amp; triển khai</t>
  </si>
  <si>
    <t>5.1</t>
  </si>
  <si>
    <t>Kiểm thử FEFO, phân quyền và cách ly tenant</t>
  </si>
  <si>
    <t>5.2</t>
  </si>
  <si>
    <t>Tối ưu hiệu năng, giám sát và sao lưu</t>
  </si>
  <si>
    <t>5.3</t>
  </si>
  <si>
    <t>UAT, đào tạo, triển khai production và bàn giao</t>
  </si>
  <si>
    <t>AI INVENTORY &amp; WASTE MANAGER</t>
  </si>
  <si>
    <t>Doanh nghiệp F&amp;B / Đơn vị vận hành hệ thống</t>
  </si>
  <si>
    <t>Hoàng Lương</t>
  </si>
  <si>
    <t>Nhóm phát triển AI Inventory &amp; Waste Manager</t>
  </si>
  <si>
    <t>Xây dựng nền tảng SaaS đa cửa hàng giúp doanh nghiệp F&amp;B quản lý tồn kho theo lô và FEFO, cảnh báo rủi ro hết hạn/tồn thấp, ghi nhận lãng phí, dự báo nhu cầu đặt hàng và kiểm soát vận hành theo vai trò.</t>
  </si>
  <si>
    <t>Web application responsive; quản lý tenant/store; JWT &amp; RBAC; nguyên liệu, lô hàng, nhập/xuất FEFO; hao hụt; cảnh báo; dự báo; báo cáo; nhân sự; gói dịch vụ và quản trị hệ thống.</t>
  </si>
  <si>
    <t>Không bao gồm giao nhận vật lý, tính lương, kế toán tổng hợp, quản lý nhà cung cấp/PO đầy đủ và tích hợp POS thời gian thực trong giai đoạn hiện tại.</t>
  </si>
  <si>
    <t>Theo ngân sách được phê duyệt; effort ước tính chi tiết tại sheet 2. Price.</t>
  </si>
  <si>
    <t>Mã nguồn frontend React/TypeScript và backend Spring Boot; CSDL MySQL/Flyway; tài liệu SRS và thiết kế kỹ thuật; bộ kiểm thử; hướng dẫn triển khai/vận hành; hệ thống UAT đáp ứng phạm vi, bảo mật cách ly tenant và quy trình FEFO.</t>
  </si>
  <si>
    <t>TRIỂN KHAI AI INVENTORY &amp; WASTE MANAGER</t>
  </si>
  <si>
    <t>KHỞI TẠO DỰ ÁN</t>
  </si>
  <si>
    <t>KT01</t>
  </si>
  <si>
    <t>Kick-off và Project Charter</t>
  </si>
  <si>
    <t>PM</t>
  </si>
  <si>
    <t>KT02</t>
  </si>
  <si>
    <t>Phân tích nghiệp vụ và hoàn thiện SRS</t>
  </si>
  <si>
    <t>BA</t>
  </si>
  <si>
    <t>KT03</t>
  </si>
  <si>
    <t>Thiết kế kiến trúc, CSDL và bảo mật</t>
  </si>
  <si>
    <t>Tech Lead</t>
  </si>
  <si>
    <t>WORKSTREAM 1</t>
  </si>
  <si>
    <t>NỀN TẢNG &amp; BẢO MẬT</t>
  </si>
  <si>
    <t>WS01.1</t>
  </si>
  <si>
    <t>Auth, refresh token và đổi mật khẩu</t>
  </si>
  <si>
    <t>Backend</t>
  </si>
  <si>
    <t>WS01.2</t>
  </si>
  <si>
    <t>RBAC, Tenant Context và multi-store</t>
  </si>
  <si>
    <t>Full-stack</t>
  </si>
  <si>
    <t>WORKSTREAM 2</t>
  </si>
  <si>
    <t>QUẢN LÝ KHO FEFO</t>
  </si>
  <si>
    <t>WS02.1</t>
  </si>
  <si>
    <t>Nguyên liệu và nhập kho theo lô</t>
  </si>
  <si>
    <t>WS02.2</t>
  </si>
  <si>
    <t>Xuất kho FEFO và kiểm soát đồng thời</t>
  </si>
  <si>
    <t>WS02.3</t>
  </si>
  <si>
    <t>Hao hụt, giao dịch và kiểm kê</t>
  </si>
  <si>
    <t>WORKSTREAM 3</t>
  </si>
  <si>
    <t>CẢNH BÁO, DỰ BÁO &amp; BÁO CÁO</t>
  </si>
  <si>
    <t>WS03.1</t>
  </si>
  <si>
    <t>Cảnh báo tồn thấp và hết hạn</t>
  </si>
  <si>
    <t>WS03.2</t>
  </si>
  <si>
    <t>Forecast, reorder suggestion và dashboard</t>
  </si>
  <si>
    <t>WS03.3</t>
  </si>
  <si>
    <t>Báo cáo, audit log và xuất CSV</t>
  </si>
  <si>
    <t>WORKSTREAM 4</t>
  </si>
  <si>
    <t>NHÂN SỰ, BILLING &amp; ADMIN</t>
  </si>
  <si>
    <t>WS04.1</t>
  </si>
  <si>
    <t>Invitation và quản lý nhân sự</t>
  </si>
  <si>
    <t>WS04.2</t>
  </si>
  <si>
    <t>Subscription, billing và webhook</t>
  </si>
  <si>
    <t>WS04.3</t>
  </si>
  <si>
    <t>System Admin</t>
  </si>
  <si>
    <t>WORKSTREAM 5</t>
  </si>
  <si>
    <t>KIỂM THỬ, UAT &amp; GO-LIVE</t>
  </si>
  <si>
    <t>WS05.1</t>
  </si>
  <si>
    <t>Integration/security test</t>
  </si>
  <si>
    <t>QA</t>
  </si>
  <si>
    <t>WS05.2</t>
  </si>
  <si>
    <t>UAT và sửa lỗi</t>
  </si>
  <si>
    <t>QA/BA</t>
  </si>
  <si>
    <t>WS05.3</t>
  </si>
  <si>
    <t>Triển khai, đào tạo và bàn giao</t>
  </si>
  <si>
    <t>PM/DevOps</t>
  </si>
  <si>
    <t>Đơn vị: Nhóm phát triển AI Inventory &amp; Waste Manager</t>
  </si>
  <si>
    <t>Dự án: AI Inventory &amp; Waste Manager</t>
  </si>
  <si>
    <t>Từ ngày: 14/07/2026</t>
  </si>
  <si>
    <t>Khách hàng: Doanh nghiệp F&amp;B / Đơn vị vận hành</t>
  </si>
  <si>
    <t>Đến ngày: 16/10/2026</t>
  </si>
  <si>
    <t>Nội dung công việc</t>
  </si>
  <si>
    <t>Thời gian (ngày)</t>
  </si>
  <si>
    <t>Effort (manday)</t>
  </si>
  <si>
    <t>Comment</t>
  </si>
  <si>
    <t>I</t>
  </si>
  <si>
    <t>PHÂN TÍCH VÀ THIẾT KẾ</t>
  </si>
  <si>
    <t>Lập kế hoạch và quản trị phạm vi</t>
  </si>
  <si>
    <t>WBS, mốc, rủi ro, kế hoạch truyền thông</t>
  </si>
  <si>
    <t>Phân tích nghiệp vụ F&amp;B</t>
  </si>
  <si>
    <t>Luồng nhập/xuất, FEFO, hao hụt, cảnh báo</t>
  </si>
  <si>
    <t>Đặc tả yêu cầu và tiêu chí nghiệm thu</t>
  </si>
  <si>
    <t>SRS, business rules, acceptance criteria</t>
  </si>
  <si>
    <t>Thiết kế kiến trúc hệ thống</t>
  </si>
  <si>
    <t>React SPA, Spring Boot, MySQL, Redis</t>
  </si>
  <si>
    <t>Thiết kế CSDL và giao diện</t>
  </si>
  <si>
    <t>Schema multi-tenant, wireframe responsive</t>
  </si>
  <si>
    <t>II</t>
  </si>
  <si>
    <t>PHÁT TRIỂN VÀ XÂY DỰNG</t>
  </si>
  <si>
    <t>Nền tảng hệ thống</t>
  </si>
  <si>
    <t>Multi-tenant, bảo mật, cấu hình dùng chung</t>
  </si>
  <si>
    <t>Đăng ký, đăng nhập và refresh token</t>
  </si>
  <si>
    <t>JWT, BCrypt, phiên đăng nhập</t>
  </si>
  <si>
    <t>Phân quyền SYSTEM_ADMIN/OWNER/MANAGER/STAFF</t>
  </si>
  <si>
    <t>Route/API guards và kiểm tra quyền</t>
  </si>
  <si>
    <t>1.3</t>
  </si>
  <si>
    <t>Tenant Context và chuyển đổi cửa hàng</t>
  </si>
  <si>
    <t>Cách ly dữ liệu theo x-store-id</t>
  </si>
  <si>
    <t>1.4</t>
  </si>
  <si>
    <t>Quản lý store và trạng thái hoạt động</t>
  </si>
  <si>
    <t>CRUD, khóa/mở và quyền sở hữu</t>
  </si>
  <si>
    <t>Quản lý kho FEFO</t>
  </si>
  <si>
    <t>Nguyên liệu, lô hàng, giao dịch kho</t>
  </si>
  <si>
    <t>Quản lý danh mục nguyên liệu</t>
  </si>
  <si>
    <t>Đơn vị tính, min stock, unit cost</t>
  </si>
  <si>
    <t>Nhập kho theo lô</t>
  </si>
  <si>
    <t>Batch number, HSD, giá vốn</t>
  </si>
  <si>
    <t>Xuất kho tự động theo FEFO</t>
  </si>
  <si>
    <t>Pessimistic lock, chống tồn âm</t>
  </si>
  <si>
    <t>Ghi nhận hao hụt</t>
  </si>
  <si>
    <t>Lý do, số lượng, giá trị thất thoát</t>
  </si>
  <si>
    <t>Lịch sử giao dịch và kiểm kê</t>
  </si>
  <si>
    <t>Tra cứu, lọc, phân trang</t>
  </si>
  <si>
    <t>Cảnh báo, dự báo và báo cáo</t>
  </si>
  <si>
    <t>Dashboard và hỗ trợ quyết định</t>
  </si>
  <si>
    <t>Cảnh báo tồn kho thấp</t>
  </si>
  <si>
    <t>Theo min stock và lịch quét</t>
  </si>
  <si>
    <t>Cảnh báo sắp hết hạn</t>
  </si>
  <si>
    <t>Theo lô và ngưỡng ngày</t>
  </si>
  <si>
    <t>Dự báo nhu cầu tiêu thụ</t>
  </si>
  <si>
    <t>Average usage và reorder suggestion</t>
  </si>
  <si>
    <t>3.4</t>
  </si>
  <si>
    <t>Dashboard KPI</t>
  </si>
  <si>
    <t>Tồn kho, hao hụt, cảnh báo, hành động</t>
  </si>
  <si>
    <t>3.5</t>
  </si>
  <si>
    <t>Báo cáo và xuất CSV</t>
  </si>
  <si>
    <t>Waste, transaction, audit log</t>
  </si>
  <si>
    <t>Nhân sự và thương mại hóa</t>
  </si>
  <si>
    <t>Invitation, subscription, billing</t>
  </si>
  <si>
    <t>Mời nhân viên qua email</t>
  </si>
  <si>
    <t>Token, mật khẩu tạm, rate limit</t>
  </si>
  <si>
    <t>Đổi mật khẩu lần đầu</t>
  </si>
  <si>
    <t>MustChangePasswordFilter</t>
  </si>
  <si>
    <t>Quản lý nhân sự cửa hàng</t>
  </si>
  <si>
    <t>Danh sách, vai trò, trạng thái</t>
  </si>
  <si>
    <t>Gói FREE/BASIC/PRO/ENTERPRISE</t>
  </si>
  <si>
    <t>Hạn mức theo entitlement</t>
  </si>
  <si>
    <t>4.5</t>
  </si>
  <si>
    <t>Thanh toán và webhook</t>
  </si>
  <si>
    <t>Kích hoạt/gia hạn subscription</t>
  </si>
  <si>
    <t>4.6</t>
  </si>
  <si>
    <t>Trang quản trị hệ thống</t>
  </si>
  <si>
    <t>Tenant, user và giao dịch</t>
  </si>
  <si>
    <t>Kiểm thử và chất lượng</t>
  </si>
  <si>
    <t>Unit/integration test backend</t>
  </si>
  <si>
    <t>FEFO, auth, tenant, billing</t>
  </si>
  <si>
    <t>Kiểm thử frontend và responsive</t>
  </si>
  <si>
    <t>Các luồng chính, lỗi và trạng thái rỗng</t>
  </si>
  <si>
    <t>Kiểm thử bảo mật và UAT</t>
  </si>
  <si>
    <t>Phân quyền, rò rỉ tenant, nghiệm thu</t>
  </si>
  <si>
    <t>III</t>
  </si>
  <si>
    <t>TÍCH HỢP, TRIỂN KHAI VÀ BÀN GIAO</t>
  </si>
  <si>
    <t>6.1</t>
  </si>
  <si>
    <t>Tích hợp Gmail SMTP và Redis</t>
  </si>
  <si>
    <t>Email invitation, cache/rate limit</t>
  </si>
  <si>
    <t>6.2</t>
  </si>
  <si>
    <t>Chuẩn bị môi trường production</t>
  </si>
  <si>
    <t>Java 21, MySQL 8, Redis, reverse proxy</t>
  </si>
  <si>
    <t>6.3</t>
  </si>
  <si>
    <t>Migration dữ liệu và cấu hình</t>
  </si>
  <si>
    <t>Flyway, secrets, backup</t>
  </si>
  <si>
    <t>6.4</t>
  </si>
  <si>
    <t>Đào tạo, tài liệu và bàn giao</t>
  </si>
  <si>
    <t>HDSD, vận hành, hỗ trợ sau go-live</t>
  </si>
  <si>
    <t>TỔNG</t>
  </si>
  <si>
    <t>Dự án AI Inventory &amp; Waste Manager</t>
  </si>
  <si>
    <t>Người lập: Hoàng Lương</t>
  </si>
  <si>
    <t>Weekly</t>
  </si>
  <si>
    <t>Công việc</t>
  </si>
  <si>
    <t>Tóm tắt nội dung</t>
  </si>
  <si>
    <t>Phụ trách</t>
  </si>
  <si>
    <t>Phối hợp</t>
  </si>
  <si>
    <t>Tiến độ</t>
  </si>
  <si>
    <t>Kế hoạch Bắt đầu</t>
  </si>
  <si>
    <t>Kế hoạch Kết thúc</t>
  </si>
  <si>
    <t>Kế hoạch Số ngày</t>
  </si>
  <si>
    <t>Thực tế Bắt đầu</t>
  </si>
  <si>
    <t>Thực tế Kết thúc</t>
  </si>
  <si>
    <t>Thực tế Số ngày</t>
  </si>
  <si>
    <t>KHỞI TẠO VÀ PHÂN TÍCH</t>
  </si>
  <si>
    <t>Phạm vi, yêu cầu và kiến trúc</t>
  </si>
  <si>
    <t>Các bên liên quan</t>
  </si>
  <si>
    <t>Khởi động dự án</t>
  </si>
  <si>
    <t>Thống nhất mục tiêu, phạm vi và cách làm việc</t>
  </si>
  <si>
    <t>Product Owner</t>
  </si>
  <si>
    <t>Phân tích quy trình kho F&amp;B</t>
  </si>
  <si>
    <t>Nhập/xuất, FEFO, hao hụt và cảnh báo</t>
  </si>
  <si>
    <t>PM, vận hành</t>
  </si>
  <si>
    <t>Hoàn thiện SRS và backlog</t>
  </si>
  <si>
    <t>Yêu cầu chức năng, phi chức năng, acceptance criteria</t>
  </si>
  <si>
    <t>Thiết kế kiến trúc và CSDL</t>
  </si>
  <si>
    <t>Multi-tenant, API, schema, bảo mật</t>
  </si>
  <si>
    <t>Backend, DevOps</t>
  </si>
  <si>
    <t>Auth, tenant, store và phân quyền</t>
  </si>
  <si>
    <t>Backend, Frontend</t>
  </si>
  <si>
    <t>Xác thực JWT và refresh token</t>
  </si>
  <si>
    <t>Đăng ký, đăng nhập, đổi mật khẩu</t>
  </si>
  <si>
    <t>Frontend, QA</t>
  </si>
  <si>
    <t>RBAC và route/API guards</t>
  </si>
  <si>
    <t>4 vai trò hệ thống</t>
  </si>
  <si>
    <t>Tenant Context và multi-store</t>
  </si>
  <si>
    <t>Cách ly dữ liệu và chuyển store</t>
  </si>
  <si>
    <t>Quản lý store</t>
  </si>
  <si>
    <t>CRUD, trạng thái, quyền sở hữu</t>
  </si>
  <si>
    <t>Frontend</t>
  </si>
  <si>
    <t>Nguyên liệu, lô và giao dịch</t>
  </si>
  <si>
    <t>Backend, Frontend, QA</t>
  </si>
  <si>
    <t>Danh mục nguyên liệu</t>
  </si>
  <si>
    <t>CRUD, đơn vị, min stock, unit cost</t>
  </si>
  <si>
    <t>Batch, HSD, số lượng, giá vốn</t>
  </si>
  <si>
    <t>Xuất kho FEFO</t>
  </si>
  <si>
    <t>Khóa đồng thời và phân bổ theo lô</t>
  </si>
  <si>
    <t>Lý do, số lượng và giá trị</t>
  </si>
  <si>
    <t>Giao dịch và kiểm kê</t>
  </si>
  <si>
    <t>Lịch sử, lọc, phân trang</t>
  </si>
  <si>
    <t>IV</t>
  </si>
  <si>
    <t>Insight và hỗ trợ quyết định</t>
  </si>
  <si>
    <t>Data, Full-stack</t>
  </si>
  <si>
    <t>Cảnh báo tồn thấp/hết hạn</t>
  </si>
  <si>
    <t>Job định kỳ và action center</t>
  </si>
  <si>
    <t>Dự báo và reorder suggestion</t>
  </si>
  <si>
    <t>Dựa trên lịch sử tiêu hao</t>
  </si>
  <si>
    <t>Backend/Data</t>
  </si>
  <si>
    <t>Tồn, waste, cảnh báo và xu hướng</t>
  </si>
  <si>
    <t>Backend, QA</t>
  </si>
  <si>
    <t>V</t>
  </si>
  <si>
    <t>Thương mại hóa SaaS</t>
  </si>
  <si>
    <t>Full-stack, QA</t>
  </si>
  <si>
    <t>Invitation và first login</t>
  </si>
  <si>
    <t>Email, token, mật khẩu tạm</t>
  </si>
  <si>
    <t>Quản lý nhân sự</t>
  </si>
  <si>
    <t>Vai trò, trạng thái và hạn mức</t>
  </si>
  <si>
    <t>Subscription và billing</t>
  </si>
  <si>
    <t>Gói, entitlement, webhook</t>
  </si>
  <si>
    <t>Quản lý tenant, user và giao dịch</t>
  </si>
  <si>
    <t>VI</t>
  </si>
  <si>
    <t>KIỂM THỬ, TRIỂN KHAI &amp; BÀN GIAO</t>
  </si>
  <si>
    <t>Ổn định và nghiệm thu</t>
  </si>
  <si>
    <t>Toàn đội</t>
  </si>
  <si>
    <t>Kiểm thử tích hợp và bảo mật</t>
  </si>
  <si>
    <t>FEFO, tenant isolation, RBAC</t>
  </si>
  <si>
    <t>UAT và xử lý lỗi</t>
  </si>
  <si>
    <t>Nghiệm thu với người dùng đại diện</t>
  </si>
  <si>
    <t>Vận hành</t>
  </si>
  <si>
    <t>Chuẩn bị production</t>
  </si>
  <si>
    <t>Hạ tầng, secrets, backup, migration</t>
  </si>
  <si>
    <t>DevOps</t>
  </si>
  <si>
    <t>Đào tạo và go-live</t>
  </si>
  <si>
    <t>Hướng dẫn, triển khai, giám sát</t>
  </si>
  <si>
    <t>Bàn giao và đóng dự án</t>
  </si>
  <si>
    <t>Mã nguồn, tài liệu, biên bản</t>
  </si>
  <si>
    <t>Nhóm triển khai dự án</t>
  </si>
  <si>
    <t>Nhóm dự án</t>
  </si>
  <si>
    <t>Quản trị dự án</t>
  </si>
  <si>
    <t>Lập kế hoạch, điều phối, nghiệm thu</t>
  </si>
  <si>
    <t>Đầu mối dự án</t>
  </si>
  <si>
    <t>Chưa phân công</t>
  </si>
  <si>
    <t>Business Analyst</t>
  </si>
  <si>
    <t>Phân tích nghiệp vụ, SRS, UAT</t>
  </si>
  <si>
    <t>Cần cập nhật người phụ trách</t>
  </si>
  <si>
    <t>Tech Lead / Backend</t>
  </si>
  <si>
    <t>Kiến trúc, API, bảo mật, FEFO</t>
  </si>
  <si>
    <t>Frontend Developer</t>
  </si>
  <si>
    <t>React UI, state, responsive</t>
  </si>
  <si>
    <t>QA Engineer</t>
  </si>
  <si>
    <t>Test plan, regression, UAT</t>
  </si>
  <si>
    <t>CI/CD, hạ tầng, backup, monitoring</t>
  </si>
  <si>
    <t>Đơn vị nghiệp vụ / Khách hàng</t>
  </si>
  <si>
    <t>Đơn vị F&amp;B</t>
  </si>
  <si>
    <t>Phê duyệt phạm vi và nghiệm thu</t>
  </si>
  <si>
    <t>Cần cập nhật đại diện</t>
  </si>
  <si>
    <t>Quản lý cửa hàng</t>
  </si>
  <si>
    <t>Cung cấp quy trình và dữ liệu UAT</t>
  </si>
  <si>
    <t>Nhân viên kho</t>
  </si>
  <si>
    <t>Thử nghiệm nhập/xuất và hao hụt</t>
  </si>
  <si>
    <t>DỰ ÁN AI INVENTORY &amp; WASTE MANAGER</t>
  </si>
  <si>
    <t>Project Manager: Hoàng Lương
Quản trị dự án</t>
  </si>
  <si>
    <t>Workstream Lead: Tech Lead
Trưởng nhóm công việc</t>
  </si>
  <si>
    <t>Updated by: Hoàng Lương
Cập nhật bởi</t>
  </si>
  <si>
    <t>Updated on: 14/07/2026
Ngày cập nhật</t>
  </si>
  <si>
    <t>Nội bộ</t>
  </si>
  <si>
    <t>Khởi tạo</t>
  </si>
  <si>
    <t>Kick-off dự án</t>
  </si>
  <si>
    <t>Thống nhất phạm vi, mốc và kênh trao đổi</t>
  </si>
  <si>
    <t>Biên bản kick-off và charter</t>
  </si>
  <si>
    <t>Phân tích</t>
  </si>
  <si>
    <t>Hoàn thiện backlog</t>
  </si>
  <si>
    <t>Rà soát SRS, business rules và acceptance criteria</t>
  </si>
  <si>
    <t>Ưu tiên luồng FEFO và tenant isolation</t>
  </si>
  <si>
    <t>Kỹ thuật</t>
  </si>
  <si>
    <t>Chốt kiến trúc</t>
  </si>
  <si>
    <t>Xác nhận React, Spring Boot, MySQL, Redis và phương án triển khai</t>
  </si>
  <si>
    <t>Cần chốt secrets và môi trường production</t>
  </si>
  <si>
    <t>Chất lượng</t>
  </si>
  <si>
    <t>Kế hoạch kiểm thử</t>
  </si>
  <si>
    <t>Lập test matrix cho RBAC, multi-tenant và FEFO</t>
  </si>
  <si>
    <t>Bao gồm race condition khi xuất kho</t>
  </si>
  <si>
    <t>Ngoài dự án</t>
  </si>
  <si>
    <t>Nghiệp vụ</t>
  </si>
  <si>
    <t>Đại diện UAT</t>
  </si>
  <si>
    <t>Chỉ định Product Owner, quản lý cửa hàng và nhân viên kho thử nghiệm</t>
  </si>
  <si>
    <t>Khách hàng</t>
  </si>
  <si>
    <t>Cần thông tin liên hệ</t>
  </si>
  <si>
    <t>Hạ tầng</t>
  </si>
  <si>
    <t>Java 21 và dịch vụ phụ trợ</t>
  </si>
  <si>
    <t>Chuẩn bị JDK 21, MySQL 8, Redis và SMTP</t>
  </si>
  <si>
    <t>Môi trường hiện tại cần nâng JDK</t>
  </si>
  <si>
    <t>Bảo mật</t>
  </si>
  <si>
    <t>Kiểm tra cách ly tenant</t>
  </si>
  <si>
    <t>Xây dựng test truy cập chéo store và kiểm tra TenantContext.clear()</t>
  </si>
  <si>
    <t>QA/Backend</t>
  </si>
  <si>
    <t>Tiêu chí bắt buộc trước UAT</t>
  </si>
  <si>
    <t>Triển khai</t>
  </si>
  <si>
    <t>Tài liệu vận hành</t>
  </si>
  <si>
    <t>Hoàn thiện hướng dẫn cấu hình, backup, restore và xử lý sự cố</t>
  </si>
  <si>
    <t>DevOps/PM</t>
  </si>
  <si>
    <t>Bàn giao cùng mã nguồn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</si>
</sst>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"/>
    <numFmt numFmtId="166" formatCode="dd/mm/yyyy"/>
  </numFmts>
  <fonts count="52" x14ac:knownFonts="1">
    <font>
      <sz val="11"/>
      <color theme="1"/>
      <name val="Arial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6"/>
      <color theme="1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sz val="8"/>
      <color rgb="FF000000"/>
      <name val="Calibri"/>
      <family val="2"/>
    </font>
    <font>
      <b/>
      <sz val="16"/>
      <color theme="1"/>
      <name val="Times New Roman"/>
      <family val="1"/>
    </font>
    <font>
      <b/>
      <sz val="12"/>
      <color rgb="FFFFFFFF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0"/>
      <color theme="4"/>
      <name val="Times New Roman"/>
      <family val="1"/>
    </font>
    <font>
      <b/>
      <sz val="10"/>
      <color rgb="FF2B4575"/>
      <name val="Times New Roman"/>
      <family val="1"/>
    </font>
    <font>
      <sz val="10"/>
      <color theme="1"/>
      <name val="Times New Roman"/>
      <family val="1"/>
    </font>
    <font>
      <sz val="10"/>
      <color rgb="FF7F7F7F"/>
      <name val="Times New Roman"/>
      <family val="1"/>
    </font>
    <font>
      <sz val="10"/>
      <color theme="0"/>
      <name val="Times New Roman"/>
      <family val="1"/>
    </font>
    <font>
      <sz val="10"/>
      <color rgb="FFD8D8D8"/>
      <name val="Times New Roman"/>
      <family val="1"/>
    </font>
    <font>
      <b/>
      <sz val="10"/>
      <color theme="0"/>
      <name val="Times New Roman"/>
      <family val="1"/>
    </font>
    <font>
      <b/>
      <sz val="10"/>
      <color theme="1"/>
      <name val="Times New Roman"/>
      <family val="1"/>
    </font>
    <font>
      <sz val="8"/>
      <color theme="1"/>
      <name val="Arial"/>
      <family val="2"/>
    </font>
    <font>
      <b/>
      <i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2"/>
      <color rgb="FF0000FF"/>
      <name val="Times New Roman"/>
      <family val="1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1"/>
      <name val="Arial"/>
      <family val="2"/>
    </font>
    <font>
      <i/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000000"/>
      <name val="Arial"/>
      <family val="2"/>
    </font>
    <font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theme="0"/>
      <name val="Arial"/>
      <family val="2"/>
    </font>
    <font>
      <sz val="10"/>
      <color rgb="FF7F7F7F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b/>
      <sz val="409.55"/>
      <color rgb="FF000000"/>
      <name val="Arial"/>
      <family val="2"/>
    </font>
    <font>
      <b/>
      <i/>
      <sz val="409.55"/>
      <color rgb="FF000000"/>
      <name val="Arial"/>
      <family val="2"/>
    </font>
    <font>
      <b/>
      <sz val="409.55"/>
      <color rgb="FFFFFFFF"/>
      <name val="Arial"/>
      <family val="2"/>
    </font>
    <font>
      <b/>
      <i/>
      <sz val="409.55"/>
      <color rgb="FFFFFFFF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D8D8D8"/>
      </patternFill>
    </fill>
    <fill>
      <patternFill patternType="solid">
        <fgColor theme="0"/>
      </patternFill>
    </fill>
    <fill>
      <patternFill patternType="solid">
        <fgColor rgb="FFC9DAFB"/>
      </patternFill>
    </fill>
    <fill>
      <patternFill patternType="solid">
        <fgColor rgb="FFF2F2F2"/>
      </patternFill>
    </fill>
    <fill>
      <patternFill patternType="solid">
        <fgColor rgb="FFFFE600"/>
      </patternFill>
    </fill>
    <fill>
      <patternFill patternType="solid">
        <fgColor rgb="FFFFC000"/>
      </patternFill>
    </fill>
    <fill>
      <patternFill patternType="solid">
        <fgColor rgb="FFBED0EB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E9E0D7"/>
      </patternFill>
    </fill>
    <fill>
      <patternFill patternType="solid">
        <fgColor rgb="FFD3DDEE"/>
      </patternFill>
    </fill>
    <fill>
      <patternFill patternType="solid">
        <fgColor theme="4"/>
      </patternFill>
    </fill>
    <fill>
      <patternFill patternType="solid">
        <fgColor rgb="FF7F7F7F"/>
      </patternFill>
    </fill>
    <fill>
      <patternFill patternType="solid">
        <fgColor rgb="FF7D9ACE"/>
      </patternFill>
    </fill>
    <fill>
      <patternFill patternType="solid">
        <fgColor rgb="FFDEE7F5"/>
      </patternFill>
    </fill>
    <fill>
      <patternFill patternType="solid">
        <fgColor rgb="FFDEE8F5"/>
      </patternFill>
    </fill>
    <fill>
      <patternFill patternType="solid">
        <fgColor rgb="FFBFBFBF"/>
      </patternFill>
    </fill>
    <fill>
      <patternFill patternType="solid">
        <fgColor rgb="FF00B050"/>
      </patternFill>
    </fill>
    <fill>
      <patternFill patternType="solid">
        <fgColor rgb="FF3366FF"/>
      </patternFill>
    </fill>
    <fill>
      <patternFill patternType="solid">
        <fgColor rgb="FFFF0000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70AD47"/>
      </patternFill>
    </fill>
  </fills>
  <borders count="8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70C0"/>
      </left>
      <right style="thin">
        <color theme="4"/>
      </right>
      <top style="thin">
        <color rgb="FF0070C0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rgb="FF0070C0"/>
      </top>
      <bottom style="thin">
        <color theme="4"/>
      </bottom>
      <diagonal/>
    </border>
    <border>
      <left style="thin">
        <color theme="4"/>
      </left>
      <right style="thin">
        <color rgb="FF0070C0"/>
      </right>
      <top style="thin">
        <color rgb="FF0070C0"/>
      </top>
      <bottom style="thin">
        <color theme="4"/>
      </bottom>
      <diagonal/>
    </border>
    <border>
      <left style="thin">
        <color rgb="FF0070C0"/>
      </left>
      <right style="thin">
        <color theme="4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rgb="FF0070C0"/>
      </right>
      <top style="thin">
        <color theme="4"/>
      </top>
      <bottom style="thin">
        <color theme="4"/>
      </bottom>
      <diagonal/>
    </border>
    <border>
      <left/>
      <right style="thin">
        <color rgb="FF0070C0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70C0"/>
      </right>
      <top style="thin">
        <color theme="4"/>
      </top>
      <bottom style="thin">
        <color theme="4"/>
      </bottom>
      <diagonal/>
    </border>
    <border>
      <left style="thin">
        <color rgb="FF0070C0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0070C0"/>
      </left>
      <right style="thin">
        <color theme="4"/>
      </right>
      <top style="thin">
        <color theme="4"/>
      </top>
      <bottom style="thin">
        <color rgb="FF0070C0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rgb="FF0070C0"/>
      </bottom>
      <diagonal/>
    </border>
    <border>
      <left style="thin">
        <color theme="4"/>
      </left>
      <right style="thin">
        <color rgb="FF0070C0"/>
      </right>
      <top style="thin">
        <color theme="4"/>
      </top>
      <bottom style="thin">
        <color rgb="FF0070C0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/>
      <bottom style="thin">
        <color rgb="FFBFBFBF"/>
      </bottom>
      <diagonal/>
    </border>
    <border>
      <left style="thin">
        <color rgb="FFD8D8D8"/>
      </left>
      <right style="thin">
        <color rgb="FFD8D8D8"/>
      </right>
      <top style="thin">
        <color rgb="FFBFBFBF"/>
      </top>
      <bottom/>
      <diagonal/>
    </border>
    <border>
      <left/>
      <right/>
      <top style="thin">
        <color rgb="FFA5A5A5"/>
      </top>
      <bottom/>
      <diagonal/>
    </border>
    <border>
      <left style="thin">
        <color rgb="FFD8D8D8"/>
      </left>
      <right style="thin">
        <color rgb="FFD8D8D8"/>
      </right>
      <top/>
      <bottom style="medium">
        <color rgb="FFD8D8D8"/>
      </bottom>
      <diagonal/>
    </border>
    <border>
      <left style="thin">
        <color rgb="FFD8D8D8"/>
      </left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 style="thin">
        <color rgb="FFD8D8D8"/>
      </left>
      <right/>
      <top style="medium">
        <color rgb="FFD8D8D8"/>
      </top>
      <bottom style="medium">
        <color rgb="FFD8D8D8"/>
      </bottom>
      <diagonal/>
    </border>
    <border>
      <left/>
      <right style="thin">
        <color rgb="FFD8D8D8"/>
      </right>
      <top style="medium">
        <color rgb="FFD8D8D8"/>
      </top>
      <bottom style="medium">
        <color rgb="FFD8D8D8"/>
      </bottom>
      <diagonal/>
    </border>
    <border>
      <left/>
      <right/>
      <top style="medium">
        <color rgb="FFD8D8D8"/>
      </top>
      <bottom style="medium">
        <color rgb="FFD8D8D8"/>
      </bottom>
      <diagonal/>
    </border>
    <border>
      <left style="thin">
        <color rgb="FFD8D8D8"/>
      </left>
      <right/>
      <top style="medium">
        <color rgb="FFD8D8D8"/>
      </top>
      <bottom style="medium">
        <color rgb="FFD8D8D8"/>
      </bottom>
      <diagonal/>
    </border>
    <border>
      <left style="thin">
        <color rgb="FFD9D9D9"/>
      </left>
      <right/>
      <top style="medium">
        <color rgb="FFD9D9D9"/>
      </top>
      <bottom style="medium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7">
    <xf numFmtId="0" fontId="0" fillId="0" borderId="0" xfId="0"/>
    <xf numFmtId="0" fontId="1" fillId="0" borderId="0" xfId="0" applyFont="1"/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2" borderId="17" xfId="0" applyFont="1" applyFill="1" applyBorder="1"/>
    <xf numFmtId="0" fontId="6" fillId="4" borderId="26" xfId="0" applyFont="1" applyFill="1" applyBorder="1" applyAlignment="1">
      <alignment horizontal="left" vertical="center" wrapText="1"/>
    </xf>
    <xf numFmtId="0" fontId="8" fillId="0" borderId="0" xfId="0" applyFont="1"/>
    <xf numFmtId="0" fontId="7" fillId="0" borderId="26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164" fontId="10" fillId="0" borderId="0" xfId="0" applyNumberFormat="1" applyFont="1"/>
    <xf numFmtId="0" fontId="11" fillId="5" borderId="26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4" fillId="6" borderId="26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wrapText="1"/>
    </xf>
    <xf numFmtId="0" fontId="16" fillId="0" borderId="26" xfId="0" applyFont="1" applyBorder="1" applyAlignment="1">
      <alignment horizontal="center" vertical="center"/>
    </xf>
    <xf numFmtId="0" fontId="11" fillId="5" borderId="26" xfId="0" applyFont="1" applyFill="1" applyBorder="1" applyAlignment="1">
      <alignment vertical="center" wrapText="1"/>
    </xf>
    <xf numFmtId="0" fontId="11" fillId="5" borderId="26" xfId="0" applyFont="1" applyFill="1" applyBorder="1" applyAlignment="1">
      <alignment vertical="center"/>
    </xf>
    <xf numFmtId="3" fontId="11" fillId="5" borderId="26" xfId="0" applyNumberFormat="1" applyFont="1" applyFill="1" applyBorder="1" applyAlignment="1">
      <alignment horizontal="center" vertical="center"/>
    </xf>
    <xf numFmtId="164" fontId="11" fillId="5" borderId="26" xfId="0" applyNumberFormat="1" applyFont="1" applyFill="1" applyBorder="1" applyAlignment="1">
      <alignment horizontal="center" vertical="center"/>
    </xf>
    <xf numFmtId="3" fontId="11" fillId="5" borderId="34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/>
    </xf>
    <xf numFmtId="0" fontId="19" fillId="9" borderId="35" xfId="0" applyFont="1" applyFill="1" applyBorder="1" applyAlignment="1">
      <alignment horizontal="center" vertical="center" wrapText="1"/>
    </xf>
    <xf numFmtId="0" fontId="19" fillId="9" borderId="36" xfId="0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horizontal="center" vertical="center" wrapText="1"/>
    </xf>
    <xf numFmtId="0" fontId="19" fillId="9" borderId="17" xfId="0" applyFont="1" applyFill="1" applyBorder="1" applyAlignment="1">
      <alignment horizontal="center" vertical="center" wrapText="1"/>
    </xf>
    <xf numFmtId="0" fontId="6" fillId="10" borderId="38" xfId="0" applyFont="1" applyFill="1" applyBorder="1" applyAlignment="1">
      <alignment horizontal="center" vertical="center" wrapText="1"/>
    </xf>
    <xf numFmtId="0" fontId="20" fillId="10" borderId="17" xfId="0" applyFont="1" applyFill="1" applyBorder="1" applyAlignment="1">
      <alignment horizontal="right" vertical="center" wrapText="1"/>
    </xf>
    <xf numFmtId="0" fontId="20" fillId="10" borderId="41" xfId="0" applyFont="1" applyFill="1" applyBorder="1" applyAlignment="1">
      <alignment horizontal="right" vertical="center" wrapText="1"/>
    </xf>
    <xf numFmtId="0" fontId="7" fillId="0" borderId="42" xfId="0" applyFont="1" applyBorder="1" applyAlignment="1">
      <alignment horizontal="center" vertical="center" wrapText="1"/>
    </xf>
    <xf numFmtId="0" fontId="21" fillId="0" borderId="43" xfId="0" applyFont="1" applyBorder="1" applyAlignment="1">
      <alignment horizontal="left" vertical="center" wrapText="1"/>
    </xf>
    <xf numFmtId="0" fontId="21" fillId="0" borderId="44" xfId="0" applyFont="1" applyBorder="1" applyAlignment="1">
      <alignment horizontal="right" vertical="center" wrapText="1"/>
    </xf>
    <xf numFmtId="14" fontId="21" fillId="0" borderId="43" xfId="0" applyNumberFormat="1" applyFont="1" applyBorder="1" applyAlignment="1">
      <alignment horizontal="left" vertical="center" wrapText="1"/>
    </xf>
    <xf numFmtId="0" fontId="21" fillId="11" borderId="43" xfId="0" applyFont="1" applyFill="1" applyBorder="1" applyAlignment="1">
      <alignment horizontal="left" vertical="center" wrapText="1"/>
    </xf>
    <xf numFmtId="14" fontId="21" fillId="11" borderId="43" xfId="0" applyNumberFormat="1" applyFont="1" applyFill="1" applyBorder="1" applyAlignment="1">
      <alignment horizontal="left" vertical="center" wrapText="1"/>
    </xf>
    <xf numFmtId="0" fontId="21" fillId="0" borderId="39" xfId="0" applyFont="1" applyBorder="1" applyAlignment="1">
      <alignment horizontal="left" vertical="center" wrapText="1"/>
    </xf>
    <xf numFmtId="0" fontId="21" fillId="0" borderId="45" xfId="0" applyFont="1" applyBorder="1" applyAlignment="1">
      <alignment horizontal="right" vertical="center" wrapText="1"/>
    </xf>
    <xf numFmtId="0" fontId="20" fillId="10" borderId="46" xfId="0" applyFont="1" applyFill="1" applyBorder="1" applyAlignment="1">
      <alignment horizontal="center" vertical="center" wrapText="1"/>
    </xf>
    <xf numFmtId="0" fontId="20" fillId="10" borderId="46" xfId="0" applyFont="1" applyFill="1" applyBorder="1" applyAlignment="1">
      <alignment vertical="center" wrapText="1"/>
    </xf>
    <xf numFmtId="0" fontId="20" fillId="12" borderId="42" xfId="0" applyFont="1" applyFill="1" applyBorder="1" applyAlignment="1">
      <alignment horizontal="center" vertical="center" wrapText="1"/>
    </xf>
    <xf numFmtId="0" fontId="21" fillId="3" borderId="43" xfId="0" applyFont="1" applyFill="1" applyBorder="1" applyAlignment="1">
      <alignment vertical="center" wrapText="1"/>
    </xf>
    <xf numFmtId="0" fontId="21" fillId="3" borderId="43" xfId="0" applyFont="1" applyFill="1" applyBorder="1" applyAlignment="1">
      <alignment horizontal="center" vertical="center" wrapText="1"/>
    </xf>
    <xf numFmtId="0" fontId="21" fillId="3" borderId="43" xfId="0" applyFont="1" applyFill="1" applyBorder="1" applyAlignment="1">
      <alignment horizontal="right" vertical="center" wrapText="1"/>
    </xf>
    <xf numFmtId="0" fontId="20" fillId="3" borderId="44" xfId="0" applyFont="1" applyFill="1" applyBorder="1" applyAlignment="1">
      <alignment horizontal="right" vertical="center" wrapText="1"/>
    </xf>
    <xf numFmtId="0" fontId="21" fillId="3" borderId="50" xfId="0" applyFont="1" applyFill="1" applyBorder="1" applyAlignment="1">
      <alignment horizontal="right" vertical="center" wrapText="1"/>
    </xf>
    <xf numFmtId="0" fontId="20" fillId="12" borderId="43" xfId="0" applyFont="1" applyFill="1" applyBorder="1" applyAlignment="1">
      <alignment horizontal="center" vertical="center" wrapText="1"/>
    </xf>
    <xf numFmtId="0" fontId="21" fillId="3" borderId="51" xfId="0" applyFont="1" applyFill="1" applyBorder="1" applyAlignment="1">
      <alignment horizontal="right" vertical="center" wrapText="1"/>
    </xf>
    <xf numFmtId="0" fontId="21" fillId="3" borderId="52" xfId="0" applyFont="1" applyFill="1" applyBorder="1" applyAlignment="1">
      <alignment vertical="center" wrapText="1"/>
    </xf>
    <xf numFmtId="9" fontId="5" fillId="0" borderId="0" xfId="0" applyNumberFormat="1" applyFont="1"/>
    <xf numFmtId="0" fontId="20" fillId="13" borderId="54" xfId="0" applyFont="1" applyFill="1" applyBorder="1" applyAlignment="1">
      <alignment horizontal="left" vertical="center" wrapText="1"/>
    </xf>
    <xf numFmtId="0" fontId="20" fillId="13" borderId="55" xfId="0" applyFont="1" applyFill="1" applyBorder="1" applyAlignment="1">
      <alignment horizontal="center" vertical="center" wrapText="1"/>
    </xf>
    <xf numFmtId="0" fontId="20" fillId="13" borderId="56" xfId="0" applyFont="1" applyFill="1" applyBorder="1" applyAlignment="1">
      <alignment horizontal="right" vertical="center" wrapText="1"/>
    </xf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5" fillId="0" borderId="0" xfId="0" applyFont="1" applyAlignment="1">
      <alignment vertical="center"/>
    </xf>
    <xf numFmtId="0" fontId="26" fillId="0" borderId="0" xfId="0" applyFont="1"/>
    <xf numFmtId="0" fontId="25" fillId="0" borderId="0" xfId="0" applyFont="1" applyAlignment="1">
      <alignment horizontal="left"/>
    </xf>
    <xf numFmtId="0" fontId="24" fillId="0" borderId="0" xfId="0" applyFont="1" applyAlignment="1">
      <alignment horizontal="right" vertical="center"/>
    </xf>
    <xf numFmtId="0" fontId="24" fillId="0" borderId="59" xfId="0" applyFont="1" applyBorder="1" applyAlignment="1">
      <alignment horizontal="center" vertical="center"/>
    </xf>
    <xf numFmtId="0" fontId="24" fillId="0" borderId="60" xfId="0" applyFont="1" applyBorder="1" applyAlignment="1">
      <alignment horizontal="center" vertical="center"/>
    </xf>
    <xf numFmtId="14" fontId="27" fillId="0" borderId="61" xfId="0" applyNumberFormat="1" applyFont="1" applyBorder="1"/>
    <xf numFmtId="14" fontId="24" fillId="13" borderId="62" xfId="0" applyNumberFormat="1" applyFont="1" applyFill="1" applyBorder="1" applyAlignment="1">
      <alignment horizontal="center" vertical="center" wrapText="1"/>
    </xf>
    <xf numFmtId="0" fontId="28" fillId="14" borderId="63" xfId="0" applyFont="1" applyFill="1" applyBorder="1" applyAlignment="1">
      <alignment horizontal="center" vertical="center"/>
    </xf>
    <xf numFmtId="0" fontId="28" fillId="14" borderId="63" xfId="0" applyFont="1" applyFill="1" applyBorder="1" applyAlignment="1">
      <alignment horizontal="left" vertical="center"/>
    </xf>
    <xf numFmtId="0" fontId="28" fillId="14" borderId="63" xfId="0" applyFont="1" applyFill="1" applyBorder="1" applyAlignment="1">
      <alignment horizontal="center" vertical="center" wrapText="1"/>
    </xf>
    <xf numFmtId="0" fontId="28" fillId="15" borderId="63" xfId="0" applyFont="1" applyFill="1" applyBorder="1" applyAlignment="1">
      <alignment horizontal="center" vertical="center" wrapText="1"/>
    </xf>
    <xf numFmtId="0" fontId="24" fillId="16" borderId="64" xfId="0" applyFont="1" applyFill="1" applyBorder="1" applyAlignment="1">
      <alignment horizontal="center" vertical="center"/>
    </xf>
    <xf numFmtId="0" fontId="24" fillId="0" borderId="65" xfId="0" applyFont="1" applyBorder="1" applyAlignment="1">
      <alignment horizontal="center" vertical="center"/>
    </xf>
    <xf numFmtId="9" fontId="24" fillId="0" borderId="65" xfId="0" applyNumberFormat="1" applyFont="1" applyBorder="1" applyAlignment="1">
      <alignment horizontal="center" vertical="center"/>
    </xf>
    <xf numFmtId="0" fontId="24" fillId="0" borderId="66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9" fillId="16" borderId="65" xfId="0" applyFont="1" applyFill="1" applyBorder="1" applyAlignment="1">
      <alignment horizontal="center" vertical="center"/>
    </xf>
    <xf numFmtId="9" fontId="24" fillId="16" borderId="65" xfId="0" applyNumberFormat="1" applyFont="1" applyFill="1" applyBorder="1" applyAlignment="1">
      <alignment horizontal="center" vertical="center"/>
    </xf>
    <xf numFmtId="0" fontId="24" fillId="16" borderId="65" xfId="0" applyFont="1" applyFill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17" borderId="65" xfId="0" applyFont="1" applyFill="1" applyBorder="1" applyAlignment="1">
      <alignment horizontal="center" vertical="center"/>
    </xf>
    <xf numFmtId="9" fontId="24" fillId="17" borderId="65" xfId="0" applyNumberFormat="1" applyFont="1" applyFill="1" applyBorder="1" applyAlignment="1">
      <alignment horizontal="center" vertical="center"/>
    </xf>
    <xf numFmtId="0" fontId="24" fillId="17" borderId="65" xfId="0" applyFont="1" applyFill="1" applyBorder="1" applyAlignment="1">
      <alignment horizontal="center" vertical="center"/>
    </xf>
    <xf numFmtId="0" fontId="24" fillId="3" borderId="69" xfId="0" applyFont="1" applyFill="1" applyBorder="1" applyAlignment="1">
      <alignment vertical="center"/>
    </xf>
    <xf numFmtId="0" fontId="30" fillId="3" borderId="69" xfId="0" applyFont="1" applyFill="1" applyBorder="1" applyAlignment="1">
      <alignment vertical="center"/>
    </xf>
    <xf numFmtId="2" fontId="24" fillId="3" borderId="69" xfId="0" applyNumberFormat="1" applyFont="1" applyFill="1" applyBorder="1" applyAlignment="1">
      <alignment vertical="center"/>
    </xf>
    <xf numFmtId="0" fontId="29" fillId="17" borderId="70" xfId="0" applyFont="1" applyFill="1" applyBorder="1" applyAlignment="1">
      <alignment horizontal="left" vertical="center"/>
    </xf>
    <xf numFmtId="0" fontId="24" fillId="17" borderId="70" xfId="0" applyFont="1" applyFill="1" applyBorder="1" applyAlignment="1">
      <alignment horizontal="left" vertical="center"/>
    </xf>
    <xf numFmtId="0" fontId="31" fillId="17" borderId="65" xfId="0" applyFont="1" applyFill="1" applyBorder="1" applyAlignment="1">
      <alignment horizontal="center" vertical="center"/>
    </xf>
    <xf numFmtId="0" fontId="7" fillId="0" borderId="0" xfId="0" applyFont="1"/>
    <xf numFmtId="0" fontId="6" fillId="7" borderId="26" xfId="0" applyFont="1" applyFill="1" applyBorder="1" applyAlignment="1">
      <alignment horizontal="center" vertical="center" wrapText="1"/>
    </xf>
    <xf numFmtId="49" fontId="7" fillId="0" borderId="26" xfId="0" applyNumberFormat="1" applyFont="1" applyBorder="1" applyAlignment="1">
      <alignment horizontal="center" vertical="top" wrapText="1"/>
    </xf>
    <xf numFmtId="0" fontId="33" fillId="0" borderId="26" xfId="0" applyFont="1" applyBorder="1" applyAlignment="1">
      <alignment horizontal="left" vertical="top" wrapText="1"/>
    </xf>
    <xf numFmtId="0" fontId="7" fillId="3" borderId="26" xfId="0" applyFont="1" applyFill="1" applyBorder="1" applyAlignment="1">
      <alignment horizontal="left" vertical="top" wrapText="1"/>
    </xf>
    <xf numFmtId="0" fontId="9" fillId="0" borderId="28" xfId="0" applyFont="1" applyBorder="1"/>
    <xf numFmtId="0" fontId="9" fillId="0" borderId="31" xfId="0" applyFont="1" applyBorder="1"/>
    <xf numFmtId="0" fontId="9" fillId="0" borderId="31" xfId="0" applyFont="1" applyBorder="1" applyAlignment="1">
      <alignment horizontal="center" vertical="top" wrapText="1"/>
    </xf>
    <xf numFmtId="0" fontId="9" fillId="0" borderId="31" xfId="0" applyFont="1" applyBorder="1" applyAlignment="1">
      <alignment horizontal="center"/>
    </xf>
    <xf numFmtId="0" fontId="34" fillId="11" borderId="13" xfId="0" applyFont="1" applyFill="1" applyBorder="1" applyAlignment="1">
      <alignment horizontal="left" vertical="top" wrapText="1"/>
    </xf>
    <xf numFmtId="0" fontId="35" fillId="11" borderId="13" xfId="0" applyFont="1" applyFill="1" applyBorder="1" applyAlignment="1">
      <alignment horizontal="left" vertical="top" wrapText="1"/>
    </xf>
    <xf numFmtId="0" fontId="35" fillId="11" borderId="13" xfId="0" applyFont="1" applyFill="1" applyBorder="1" applyAlignment="1">
      <alignment horizontal="center" vertical="top"/>
    </xf>
    <xf numFmtId="15" fontId="34" fillId="11" borderId="13" xfId="0" applyNumberFormat="1" applyFont="1" applyFill="1" applyBorder="1" applyAlignment="1">
      <alignment horizontal="center" vertical="top" wrapText="1"/>
    </xf>
    <xf numFmtId="0" fontId="35" fillId="0" borderId="13" xfId="0" applyFont="1" applyBorder="1" applyAlignment="1">
      <alignment horizontal="left" vertical="top" wrapText="1"/>
    </xf>
    <xf numFmtId="0" fontId="35" fillId="0" borderId="12" xfId="0" applyFont="1" applyBorder="1" applyAlignment="1">
      <alignment vertical="top" wrapText="1"/>
    </xf>
    <xf numFmtId="0" fontId="9" fillId="0" borderId="21" xfId="0" applyFont="1" applyBorder="1"/>
    <xf numFmtId="0" fontId="9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/>
    </xf>
    <xf numFmtId="0" fontId="34" fillId="11" borderId="17" xfId="0" applyFont="1" applyFill="1" applyBorder="1" applyAlignment="1">
      <alignment vertical="top" wrapText="1"/>
    </xf>
    <xf numFmtId="0" fontId="36" fillId="3" borderId="17" xfId="0" applyFont="1" applyFill="1" applyBorder="1" applyAlignment="1">
      <alignment horizontal="left"/>
    </xf>
    <xf numFmtId="15" fontId="34" fillId="11" borderId="17" xfId="0" applyNumberFormat="1" applyFont="1" applyFill="1" applyBorder="1" applyAlignment="1">
      <alignment horizontal="center" vertical="top" wrapText="1"/>
    </xf>
    <xf numFmtId="0" fontId="35" fillId="0" borderId="17" xfId="0" applyFont="1" applyBorder="1" applyAlignment="1">
      <alignment horizontal="left" vertical="top" wrapText="1"/>
    </xf>
    <xf numFmtId="0" fontId="35" fillId="0" borderId="18" xfId="0" applyFont="1" applyBorder="1" applyAlignment="1">
      <alignment vertical="top" wrapText="1"/>
    </xf>
    <xf numFmtId="0" fontId="9" fillId="11" borderId="18" xfId="0" applyFont="1" applyFill="1" applyBorder="1" applyAlignment="1">
      <alignment horizontal="center" vertical="top" wrapText="1"/>
    </xf>
    <xf numFmtId="0" fontId="35" fillId="11" borderId="17" xfId="0" applyFont="1" applyFill="1" applyBorder="1" applyAlignment="1">
      <alignment vertical="top" wrapText="1"/>
    </xf>
    <xf numFmtId="0" fontId="9" fillId="11" borderId="17" xfId="0" applyFont="1" applyFill="1" applyBorder="1" applyAlignment="1">
      <alignment vertical="top" wrapText="1"/>
    </xf>
    <xf numFmtId="0" fontId="9" fillId="11" borderId="17" xfId="0" applyFont="1" applyFill="1" applyBorder="1" applyAlignment="1">
      <alignment horizontal="left" vertical="top" wrapText="1"/>
    </xf>
    <xf numFmtId="15" fontId="4" fillId="11" borderId="17" xfId="0" applyNumberFormat="1" applyFont="1" applyFill="1" applyBorder="1" applyAlignment="1">
      <alignment horizontal="center" vertical="top"/>
    </xf>
    <xf numFmtId="15" fontId="9" fillId="11" borderId="26" xfId="0" applyNumberFormat="1" applyFont="1" applyFill="1" applyBorder="1" applyAlignment="1">
      <alignment horizontal="center" vertical="top" wrapText="1"/>
    </xf>
    <xf numFmtId="0" fontId="9" fillId="19" borderId="26" xfId="0" applyFont="1" applyFill="1" applyBorder="1" applyAlignment="1">
      <alignment horizontal="center" vertical="top" wrapText="1"/>
    </xf>
    <xf numFmtId="0" fontId="37" fillId="11" borderId="18" xfId="0" applyFont="1" applyFill="1" applyBorder="1" applyAlignment="1">
      <alignment horizontal="center" vertical="top" wrapText="1"/>
    </xf>
    <xf numFmtId="0" fontId="35" fillId="11" borderId="17" xfId="0" applyFont="1" applyFill="1" applyBorder="1" applyAlignment="1">
      <alignment vertical="center" wrapText="1"/>
    </xf>
    <xf numFmtId="0" fontId="9" fillId="11" borderId="17" xfId="0" applyFont="1" applyFill="1" applyBorder="1" applyAlignment="1">
      <alignment horizontal="left" vertical="center"/>
    </xf>
    <xf numFmtId="15" fontId="9" fillId="11" borderId="17" xfId="0" applyNumberFormat="1" applyFont="1" applyFill="1" applyBorder="1" applyAlignment="1">
      <alignment horizontal="center" vertical="top" wrapText="1"/>
    </xf>
    <xf numFmtId="0" fontId="9" fillId="20" borderId="26" xfId="0" applyFont="1" applyFill="1" applyBorder="1" applyAlignment="1">
      <alignment horizontal="center" vertical="top" wrapText="1"/>
    </xf>
    <xf numFmtId="0" fontId="38" fillId="21" borderId="26" xfId="0" applyFont="1" applyFill="1" applyBorder="1" applyAlignment="1">
      <alignment horizontal="center" vertical="top" wrapText="1"/>
    </xf>
    <xf numFmtId="0" fontId="39" fillId="7" borderId="26" xfId="0" applyFont="1" applyFill="1" applyBorder="1" applyAlignment="1">
      <alignment horizontal="center" vertical="top" wrapText="1"/>
    </xf>
    <xf numFmtId="15" fontId="9" fillId="0" borderId="0" xfId="0" applyNumberFormat="1" applyFont="1" applyAlignment="1">
      <alignment horizontal="left" vertical="center"/>
    </xf>
    <xf numFmtId="0" fontId="40" fillId="22" borderId="26" xfId="0" applyFont="1" applyFill="1" applyBorder="1" applyAlignment="1">
      <alignment horizontal="center" vertical="top" wrapText="1"/>
    </xf>
    <xf numFmtId="0" fontId="9" fillId="0" borderId="9" xfId="0" applyFont="1" applyBorder="1"/>
    <xf numFmtId="0" fontId="9" fillId="0" borderId="33" xfId="0" applyFont="1" applyBorder="1"/>
    <xf numFmtId="0" fontId="9" fillId="0" borderId="33" xfId="0" applyFont="1" applyBorder="1" applyAlignment="1">
      <alignment horizontal="center" vertical="top" wrapText="1"/>
    </xf>
    <xf numFmtId="0" fontId="9" fillId="0" borderId="33" xfId="0" applyFont="1" applyBorder="1" applyAlignment="1">
      <alignment horizontal="center"/>
    </xf>
    <xf numFmtId="0" fontId="9" fillId="11" borderId="75" xfId="0" applyFont="1" applyFill="1" applyBorder="1" applyAlignment="1">
      <alignment vertical="top" wrapText="1"/>
    </xf>
    <xf numFmtId="0" fontId="35" fillId="11" borderId="75" xfId="0" applyFont="1" applyFill="1" applyBorder="1" applyAlignment="1">
      <alignment vertical="top" wrapText="1"/>
    </xf>
    <xf numFmtId="0" fontId="9" fillId="3" borderId="26" xfId="0" applyFont="1" applyFill="1" applyBorder="1" applyAlignment="1">
      <alignment horizontal="center" vertical="top" wrapText="1"/>
    </xf>
    <xf numFmtId="0" fontId="37" fillId="11" borderId="76" xfId="0" applyFont="1" applyFill="1" applyBorder="1" applyAlignment="1">
      <alignment horizontal="center" vertical="top" wrapText="1"/>
    </xf>
    <xf numFmtId="0" fontId="35" fillId="11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left" vertical="top" wrapText="1"/>
    </xf>
    <xf numFmtId="0" fontId="37" fillId="3" borderId="77" xfId="0" applyFont="1" applyFill="1" applyBorder="1" applyAlignment="1">
      <alignment horizontal="center" vertical="top" wrapText="1"/>
    </xf>
    <xf numFmtId="0" fontId="35" fillId="11" borderId="75" xfId="0" applyFont="1" applyFill="1" applyBorder="1" applyAlignment="1">
      <alignment horizontal="center" vertical="center"/>
    </xf>
    <xf numFmtId="15" fontId="9" fillId="11" borderId="75" xfId="0" applyNumberFormat="1" applyFont="1" applyFill="1" applyBorder="1" applyAlignment="1">
      <alignment horizontal="center" vertical="top" wrapText="1"/>
    </xf>
    <xf numFmtId="0" fontId="37" fillId="11" borderId="75" xfId="0" applyFont="1" applyFill="1" applyBorder="1" applyAlignment="1">
      <alignment horizontal="left" vertical="top" wrapText="1"/>
    </xf>
    <xf numFmtId="0" fontId="37" fillId="11" borderId="17" xfId="0" applyFont="1" applyFill="1" applyBorder="1" applyAlignment="1">
      <alignment vertical="top" wrapText="1"/>
    </xf>
    <xf numFmtId="0" fontId="42" fillId="14" borderId="78" xfId="0" applyFont="1" applyFill="1" applyBorder="1" applyAlignment="1">
      <alignment horizontal="center" vertical="top" wrapText="1"/>
    </xf>
    <xf numFmtId="0" fontId="42" fillId="14" borderId="26" xfId="0" applyFont="1" applyFill="1" applyBorder="1" applyAlignment="1">
      <alignment horizontal="center" vertical="top" wrapText="1"/>
    </xf>
    <xf numFmtId="164" fontId="42" fillId="14" borderId="78" xfId="0" applyNumberFormat="1" applyFont="1" applyFill="1" applyBorder="1" applyAlignment="1">
      <alignment horizontal="center" vertical="top" wrapText="1"/>
    </xf>
    <xf numFmtId="164" fontId="42" fillId="14" borderId="26" xfId="0" applyNumberFormat="1" applyFont="1" applyFill="1" applyBorder="1" applyAlignment="1">
      <alignment horizontal="center" vertical="top" wrapText="1"/>
    </xf>
    <xf numFmtId="0" fontId="42" fillId="14" borderId="79" xfId="0" applyFont="1" applyFill="1" applyBorder="1" applyAlignment="1">
      <alignment horizontal="center" vertical="top" wrapText="1"/>
    </xf>
    <xf numFmtId="0" fontId="9" fillId="0" borderId="26" xfId="0" applyFont="1" applyBorder="1" applyAlignment="1">
      <alignment horizontal="center" vertical="top" wrapText="1"/>
    </xf>
    <xf numFmtId="0" fontId="9" fillId="0" borderId="26" xfId="0" applyFont="1" applyBorder="1" applyAlignment="1">
      <alignment horizontal="left" vertical="top" wrapText="1"/>
    </xf>
    <xf numFmtId="0" fontId="9" fillId="21" borderId="26" xfId="0" applyFont="1" applyFill="1" applyBorder="1" applyAlignment="1">
      <alignment horizontal="center" vertical="top" wrapText="1"/>
    </xf>
    <xf numFmtId="0" fontId="9" fillId="0" borderId="30" xfId="0" applyFont="1" applyBorder="1" applyAlignment="1">
      <alignment horizontal="left" vertical="top" wrapText="1"/>
    </xf>
    <xf numFmtId="0" fontId="9" fillId="0" borderId="25" xfId="0" applyFont="1" applyBorder="1" applyAlignment="1">
      <alignment horizontal="left" vertical="top" wrapText="1"/>
    </xf>
    <xf numFmtId="0" fontId="9" fillId="0" borderId="24" xfId="0" applyFont="1" applyBorder="1" applyAlignment="1">
      <alignment vertical="top" wrapText="1"/>
    </xf>
    <xf numFmtId="0" fontId="9" fillId="0" borderId="25" xfId="0" applyFont="1" applyBorder="1" applyAlignment="1">
      <alignment vertical="top" wrapText="1"/>
    </xf>
    <xf numFmtId="0" fontId="9" fillId="0" borderId="26" xfId="0" applyFont="1" applyBorder="1" applyAlignment="1">
      <alignment vertical="top" wrapText="1"/>
    </xf>
    <xf numFmtId="0" fontId="9" fillId="0" borderId="24" xfId="0" applyFont="1" applyBorder="1" applyAlignment="1">
      <alignment horizontal="left" vertical="top" wrapText="1"/>
    </xf>
    <xf numFmtId="14" fontId="9" fillId="0" borderId="26" xfId="0" applyNumberFormat="1" applyFont="1" applyBorder="1" applyAlignment="1">
      <alignment horizontal="center" vertical="top" wrapText="1"/>
    </xf>
    <xf numFmtId="15" fontId="9" fillId="0" borderId="25" xfId="0" applyNumberFormat="1" applyFont="1" applyBorder="1" applyAlignment="1">
      <alignment horizontal="center" vertical="top" wrapText="1"/>
    </xf>
    <xf numFmtId="164" fontId="9" fillId="0" borderId="26" xfId="0" applyNumberFormat="1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wrapText="1"/>
    </xf>
    <xf numFmtId="0" fontId="45" fillId="24" borderId="11" xfId="0" applyFont="1" applyFill="1" applyBorder="1" applyAlignment="1">
      <alignment wrapText="1"/>
    </xf>
    <xf numFmtId="0" fontId="45" fillId="24" borderId="12" xfId="0" applyFont="1" applyFill="1" applyBorder="1" applyAlignment="1">
      <alignment wrapText="1"/>
    </xf>
    <xf numFmtId="0" fontId="45" fillId="24" borderId="13" xfId="0" applyFont="1" applyFill="1" applyBorder="1" applyAlignment="1">
      <alignment wrapText="1"/>
    </xf>
    <xf numFmtId="0" fontId="45" fillId="24" borderId="14" xfId="0" applyFont="1" applyFill="1" applyBorder="1" applyAlignment="1">
      <alignment wrapText="1"/>
    </xf>
    <xf numFmtId="0" fontId="0" fillId="0" borderId="15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44" fillId="23" borderId="0" xfId="0" applyFont="1" applyFill="1" applyAlignment="1">
      <alignment vertical="center" wrapText="1"/>
    </xf>
    <xf numFmtId="0" fontId="46" fillId="25" borderId="0" xfId="0" applyFont="1" applyFill="1" applyAlignment="1">
      <alignment horizontal="center" vertical="center" wrapText="1"/>
    </xf>
    <xf numFmtId="0" fontId="46" fillId="25" borderId="17" xfId="0" applyFont="1" applyFill="1" applyBorder="1" applyAlignment="1">
      <alignment horizontal="center" vertical="center" wrapText="1"/>
    </xf>
    <xf numFmtId="0" fontId="44" fillId="23" borderId="17" xfId="0" applyFont="1" applyFill="1" applyBorder="1" applyAlignment="1">
      <alignment vertical="center" wrapText="1"/>
    </xf>
    <xf numFmtId="0" fontId="44" fillId="23" borderId="18" xfId="0" applyFont="1" applyFill="1" applyBorder="1" applyAlignment="1">
      <alignment vertical="center" wrapText="1"/>
    </xf>
    <xf numFmtId="0" fontId="44" fillId="23" borderId="0" xfId="0" applyFont="1" applyFill="1" applyAlignment="1">
      <alignment wrapText="1"/>
    </xf>
    <xf numFmtId="0" fontId="44" fillId="23" borderId="10" xfId="0" applyFont="1" applyFill="1" applyBorder="1" applyAlignment="1">
      <alignment wrapText="1"/>
    </xf>
    <xf numFmtId="0" fontId="45" fillId="24" borderId="19" xfId="0" applyFont="1" applyFill="1" applyBorder="1" applyAlignment="1">
      <alignment vertical="center" wrapText="1"/>
    </xf>
    <xf numFmtId="0" fontId="45" fillId="24" borderId="18" xfId="0" applyFont="1" applyFill="1" applyBorder="1" applyAlignment="1">
      <alignment vertical="center" wrapText="1"/>
    </xf>
    <xf numFmtId="0" fontId="45" fillId="24" borderId="17" xfId="0" applyFont="1" applyFill="1" applyBorder="1" applyAlignment="1">
      <alignment vertical="center" wrapText="1"/>
    </xf>
    <xf numFmtId="0" fontId="45" fillId="24" borderId="17" xfId="0" applyFont="1" applyFill="1" applyBorder="1" applyAlignment="1">
      <alignment wrapText="1"/>
    </xf>
    <xf numFmtId="0" fontId="45" fillId="24" borderId="20" xfId="0" applyFont="1" applyFill="1" applyBorder="1" applyAlignment="1">
      <alignment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44" fillId="23" borderId="21" xfId="0" applyFont="1" applyFill="1" applyBorder="1" applyAlignment="1">
      <alignment vertical="center" wrapText="1"/>
    </xf>
    <xf numFmtId="0" fontId="45" fillId="24" borderId="15" xfId="0" applyFont="1" applyFill="1" applyBorder="1" applyAlignment="1">
      <alignment horizontal="left" vertical="center" wrapText="1"/>
    </xf>
    <xf numFmtId="0" fontId="45" fillId="24" borderId="16" xfId="0" applyFont="1" applyFill="1" applyBorder="1" applyAlignment="1">
      <alignment horizontal="left" vertical="center" wrapText="1"/>
    </xf>
    <xf numFmtId="0" fontId="45" fillId="24" borderId="0" xfId="0" applyFont="1" applyFill="1" applyAlignment="1">
      <alignment vertical="center" wrapText="1"/>
    </xf>
    <xf numFmtId="0" fontId="45" fillId="24" borderId="22" xfId="0" applyFont="1" applyFill="1" applyBorder="1" applyAlignment="1">
      <alignment vertical="center" wrapText="1"/>
    </xf>
    <xf numFmtId="0" fontId="45" fillId="24" borderId="0" xfId="0" applyFont="1" applyFill="1" applyAlignment="1">
      <alignment wrapText="1"/>
    </xf>
    <xf numFmtId="0" fontId="45" fillId="24" borderId="10" xfId="0" applyFont="1" applyFill="1" applyBorder="1" applyAlignment="1">
      <alignment wrapText="1"/>
    </xf>
    <xf numFmtId="0" fontId="45" fillId="24" borderId="21" xfId="0" applyFont="1" applyFill="1" applyBorder="1" applyAlignment="1">
      <alignment vertical="center" wrapText="1"/>
    </xf>
    <xf numFmtId="0" fontId="45" fillId="24" borderId="16" xfId="0" applyFont="1" applyFill="1" applyBorder="1" applyAlignment="1">
      <alignment vertical="center" wrapText="1"/>
    </xf>
    <xf numFmtId="166" fontId="7" fillId="0" borderId="26" xfId="0" applyNumberFormat="1" applyFont="1" applyBorder="1" applyAlignment="1">
      <alignment horizontal="left" vertical="center" wrapText="1"/>
    </xf>
    <xf numFmtId="3" fontId="21" fillId="0" borderId="43" xfId="0" applyNumberFormat="1" applyFont="1" applyBorder="1" applyAlignment="1">
      <alignment horizontal="right" vertical="center" wrapText="1"/>
    </xf>
    <xf numFmtId="3" fontId="21" fillId="0" borderId="44" xfId="0" applyNumberFormat="1" applyFont="1" applyBorder="1" applyAlignment="1">
      <alignment horizontal="right" vertical="center" wrapText="1"/>
    </xf>
    <xf numFmtId="3" fontId="21" fillId="11" borderId="43" xfId="0" applyNumberFormat="1" applyFont="1" applyFill="1" applyBorder="1" applyAlignment="1">
      <alignment horizontal="right" vertical="center" wrapText="1"/>
    </xf>
    <xf numFmtId="3" fontId="21" fillId="0" borderId="45" xfId="0" applyNumberFormat="1" applyFont="1" applyBorder="1" applyAlignment="1">
      <alignment horizontal="right" vertical="center" wrapText="1"/>
    </xf>
    <xf numFmtId="3" fontId="20" fillId="10" borderId="46" xfId="0" applyNumberFormat="1" applyFont="1" applyFill="1" applyBorder="1" applyAlignment="1">
      <alignment vertical="center" wrapText="1"/>
    </xf>
    <xf numFmtId="3" fontId="21" fillId="3" borderId="43" xfId="0" applyNumberFormat="1" applyFont="1" applyFill="1" applyBorder="1" applyAlignment="1">
      <alignment vertical="center" wrapText="1"/>
    </xf>
    <xf numFmtId="3" fontId="21" fillId="3" borderId="43" xfId="0" applyNumberFormat="1" applyFont="1" applyFill="1" applyBorder="1" applyAlignment="1">
      <alignment horizontal="right" vertical="center" wrapText="1"/>
    </xf>
    <xf numFmtId="3" fontId="21" fillId="3" borderId="44" xfId="0" applyNumberFormat="1" applyFont="1" applyFill="1" applyBorder="1" applyAlignment="1">
      <alignment horizontal="right" vertical="center" wrapText="1"/>
    </xf>
    <xf numFmtId="3" fontId="21" fillId="3" borderId="46" xfId="0" applyNumberFormat="1" applyFont="1" applyFill="1" applyBorder="1" applyAlignment="1">
      <alignment vertical="center" wrapText="1"/>
    </xf>
    <xf numFmtId="3" fontId="21" fillId="3" borderId="52" xfId="0" applyNumberFormat="1" applyFont="1" applyFill="1" applyBorder="1" applyAlignment="1">
      <alignment vertical="center" wrapText="1"/>
    </xf>
    <xf numFmtId="3" fontId="21" fillId="3" borderId="53" xfId="0" applyNumberFormat="1" applyFont="1" applyFill="1" applyBorder="1" applyAlignment="1">
      <alignment vertical="center" wrapText="1"/>
    </xf>
    <xf numFmtId="3" fontId="20" fillId="13" borderId="55" xfId="0" applyNumberFormat="1" applyFont="1" applyFill="1" applyBorder="1" applyAlignment="1">
      <alignment horizontal="right" vertical="center" wrapText="1"/>
    </xf>
    <xf numFmtId="3" fontId="20" fillId="13" borderId="56" xfId="0" applyNumberFormat="1" applyFont="1" applyFill="1" applyBorder="1" applyAlignment="1">
      <alignment horizontal="right" vertical="center" wrapText="1"/>
    </xf>
    <xf numFmtId="166" fontId="24" fillId="0" borderId="65" xfId="0" applyNumberFormat="1" applyFont="1" applyBorder="1" applyAlignment="1">
      <alignment horizontal="center" vertical="center"/>
    </xf>
    <xf numFmtId="166" fontId="29" fillId="16" borderId="65" xfId="0" applyNumberFormat="1" applyFont="1" applyFill="1" applyBorder="1" applyAlignment="1">
      <alignment horizontal="center" vertical="center"/>
    </xf>
    <xf numFmtId="166" fontId="24" fillId="17" borderId="65" xfId="0" applyNumberFormat="1" applyFont="1" applyFill="1" applyBorder="1" applyAlignment="1">
      <alignment horizontal="center" vertical="center"/>
    </xf>
    <xf numFmtId="166" fontId="29" fillId="17" borderId="65" xfId="0" applyNumberFormat="1" applyFont="1" applyFill="1" applyBorder="1" applyAlignment="1">
      <alignment horizontal="center" vertical="center"/>
    </xf>
    <xf numFmtId="166" fontId="31" fillId="17" borderId="65" xfId="0" applyNumberFormat="1" applyFont="1" applyFill="1" applyBorder="1" applyAlignment="1">
      <alignment horizontal="center" vertical="center"/>
    </xf>
    <xf numFmtId="166" fontId="24" fillId="16" borderId="65" xfId="0" applyNumberFormat="1" applyFont="1" applyFill="1" applyBorder="1" applyAlignment="1">
      <alignment horizontal="center" vertical="center"/>
    </xf>
    <xf numFmtId="0" fontId="24" fillId="0" borderId="65" xfId="0" applyFont="1" applyBorder="1" applyAlignment="1">
      <alignment horizontal="left" vertical="center" wrapText="1"/>
    </xf>
    <xf numFmtId="0" fontId="24" fillId="17" borderId="65" xfId="0" applyFont="1" applyFill="1" applyBorder="1" applyAlignment="1">
      <alignment horizontal="left" vertical="center" wrapText="1"/>
    </xf>
    <xf numFmtId="0" fontId="29" fillId="17" borderId="70" xfId="0" applyFont="1" applyFill="1" applyBorder="1" applyAlignment="1">
      <alignment horizontal="left" vertical="center" wrapText="1"/>
    </xf>
    <xf numFmtId="0" fontId="24" fillId="17" borderId="70" xfId="0" applyFont="1" applyFill="1" applyBorder="1" applyAlignment="1">
      <alignment horizontal="left" vertical="center" wrapText="1"/>
    </xf>
    <xf numFmtId="0" fontId="31" fillId="17" borderId="65" xfId="0" applyFont="1" applyFill="1" applyBorder="1" applyAlignment="1">
      <alignment horizontal="left" vertical="center" wrapText="1"/>
    </xf>
    <xf numFmtId="0" fontId="32" fillId="18" borderId="71" xfId="0" applyFont="1" applyFill="1" applyBorder="1" applyAlignment="1">
      <alignment horizontal="left" vertical="center" wrapText="1"/>
    </xf>
    <xf numFmtId="0" fontId="43" fillId="0" borderId="26" xfId="0" applyFont="1" applyBorder="1" applyAlignment="1">
      <alignment horizontal="center" vertical="top" wrapText="1"/>
    </xf>
    <xf numFmtId="166" fontId="9" fillId="0" borderId="26" xfId="0" applyNumberFormat="1" applyFont="1" applyBorder="1" applyAlignment="1">
      <alignment horizontal="center" vertical="top" wrapText="1"/>
    </xf>
    <xf numFmtId="166" fontId="9" fillId="0" borderId="30" xfId="0" applyNumberFormat="1" applyFont="1" applyBorder="1" applyAlignment="1">
      <alignment horizontal="center" vertical="top" wrapText="1"/>
    </xf>
    <xf numFmtId="0" fontId="9" fillId="0" borderId="26" xfId="0" applyFont="1" applyBorder="1" applyAlignment="1">
      <alignment horizontal="center" wrapText="1"/>
    </xf>
    <xf numFmtId="15" fontId="9" fillId="0" borderId="26" xfId="0" applyNumberFormat="1" applyFont="1" applyBorder="1" applyAlignment="1">
      <alignment horizontal="center" vertical="top" wrapText="1"/>
    </xf>
    <xf numFmtId="164" fontId="9" fillId="0" borderId="26" xfId="0" applyNumberFormat="1" applyFont="1" applyBorder="1" applyAlignment="1">
      <alignment horizontal="center" vertical="top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11" fillId="23" borderId="80" xfId="0" applyFont="1" applyFill="1" applyBorder="1"/>
    <xf numFmtId="0" fontId="17" fillId="23" borderId="80" xfId="0" applyFont="1" applyFill="1" applyBorder="1" applyAlignment="1">
      <alignment vertical="center"/>
    </xf>
    <xf numFmtId="166" fontId="11" fillId="5" borderId="26" xfId="0" applyNumberFormat="1" applyFont="1" applyFill="1" applyBorder="1" applyAlignment="1">
      <alignment horizontal="center" vertical="center"/>
    </xf>
    <xf numFmtId="0" fontId="11" fillId="5" borderId="3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3" fillId="0" borderId="2" xfId="0" applyFont="1" applyBorder="1"/>
    <xf numFmtId="0" fontId="3" fillId="0" borderId="7" xfId="0" applyFont="1" applyBorder="1"/>
    <xf numFmtId="0" fontId="3" fillId="0" borderId="8" xfId="0" applyFont="1" applyBorder="1"/>
    <xf numFmtId="0" fontId="4" fillId="0" borderId="3" xfId="0" applyFont="1" applyBorder="1" applyAlignment="1">
      <alignment horizontal="center"/>
    </xf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6" fillId="4" borderId="23" xfId="0" applyFont="1" applyFill="1" applyBorder="1" applyAlignment="1">
      <alignment horizontal="center" vertical="center"/>
    </xf>
    <xf numFmtId="0" fontId="3" fillId="0" borderId="24" xfId="0" applyFont="1" applyBorder="1"/>
    <xf numFmtId="0" fontId="3" fillId="0" borderId="25" xfId="0" applyFont="1" applyBorder="1"/>
    <xf numFmtId="0" fontId="6" fillId="0" borderId="23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6" fillId="4" borderId="27" xfId="0" applyFont="1" applyFill="1" applyBorder="1" applyAlignment="1">
      <alignment horizontal="left" vertical="center" wrapText="1"/>
    </xf>
    <xf numFmtId="0" fontId="3" fillId="0" borderId="32" xfId="0" applyFont="1" applyBorder="1"/>
    <xf numFmtId="0" fontId="3" fillId="0" borderId="30" xfId="0" applyFont="1" applyBorder="1"/>
    <xf numFmtId="0" fontId="7" fillId="0" borderId="28" xfId="0" applyFont="1" applyBorder="1" applyAlignment="1">
      <alignment horizontal="left" vertical="center" wrapText="1"/>
    </xf>
    <xf numFmtId="0" fontId="3" fillId="0" borderId="31" xfId="0" applyFont="1" applyBorder="1"/>
    <xf numFmtId="0" fontId="3" fillId="0" borderId="29" xfId="0" applyFont="1" applyBorder="1"/>
    <xf numFmtId="0" fontId="3" fillId="0" borderId="21" xfId="0" applyFont="1" applyBorder="1"/>
    <xf numFmtId="0" fontId="0" fillId="0" borderId="0" xfId="0"/>
    <xf numFmtId="0" fontId="3" fillId="0" borderId="16" xfId="0" applyFont="1" applyBorder="1"/>
    <xf numFmtId="0" fontId="3" fillId="0" borderId="9" xfId="0" applyFont="1" applyBorder="1"/>
    <xf numFmtId="0" fontId="3" fillId="0" borderId="33" xfId="0" applyFont="1" applyBorder="1"/>
    <xf numFmtId="166" fontId="7" fillId="0" borderId="23" xfId="0" applyNumberFormat="1" applyFont="1" applyBorder="1" applyAlignment="1">
      <alignment horizontal="left" vertical="center" wrapText="1"/>
    </xf>
    <xf numFmtId="0" fontId="7" fillId="0" borderId="23" xfId="0" applyFont="1" applyBorder="1" applyAlignment="1">
      <alignment vertical="top" wrapText="1"/>
    </xf>
    <xf numFmtId="3" fontId="7" fillId="0" borderId="28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wrapText="1"/>
    </xf>
    <xf numFmtId="0" fontId="7" fillId="0" borderId="27" xfId="0" applyFont="1" applyBorder="1" applyAlignment="1">
      <alignment horizontal="left" vertical="center" wrapText="1"/>
    </xf>
    <xf numFmtId="0" fontId="14" fillId="6" borderId="23" xfId="0" applyFont="1" applyFill="1" applyBorder="1" applyAlignment="1">
      <alignment horizontal="center" vertical="center" wrapText="1"/>
    </xf>
    <xf numFmtId="164" fontId="14" fillId="7" borderId="27" xfId="0" applyNumberFormat="1" applyFont="1" applyFill="1" applyBorder="1" applyAlignment="1">
      <alignment horizontal="center" vertical="center" wrapText="1"/>
    </xf>
    <xf numFmtId="0" fontId="15" fillId="0" borderId="23" xfId="0" applyFont="1" applyBorder="1" applyAlignment="1">
      <alignment horizontal="center" vertical="center"/>
    </xf>
    <xf numFmtId="0" fontId="14" fillId="8" borderId="23" xfId="0" applyFont="1" applyFill="1" applyBorder="1" applyAlignment="1">
      <alignment vertical="center" wrapText="1"/>
    </xf>
    <xf numFmtId="0" fontId="3" fillId="0" borderId="24" xfId="0" applyFont="1" applyBorder="1" applyAlignment="1">
      <alignment wrapText="1"/>
    </xf>
    <xf numFmtId="166" fontId="3" fillId="0" borderId="24" xfId="0" applyNumberFormat="1" applyFont="1" applyBorder="1"/>
    <xf numFmtId="0" fontId="47" fillId="23" borderId="80" xfId="0" applyFont="1" applyFill="1" applyBorder="1"/>
    <xf numFmtId="0" fontId="12" fillId="0" borderId="0" xfId="0" applyFont="1" applyAlignment="1">
      <alignment horizontal="center"/>
    </xf>
    <xf numFmtId="0" fontId="13" fillId="6" borderId="28" xfId="0" applyFont="1" applyFill="1" applyBorder="1" applyAlignment="1">
      <alignment horizontal="center" vertical="center" wrapText="1"/>
    </xf>
    <xf numFmtId="0" fontId="14" fillId="0" borderId="28" xfId="0" applyFont="1" applyBorder="1" applyAlignment="1">
      <alignment horizontal="center" vertical="center"/>
    </xf>
    <xf numFmtId="0" fontId="14" fillId="6" borderId="27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20" fillId="10" borderId="39" xfId="0" applyFont="1" applyFill="1" applyBorder="1" applyAlignment="1">
      <alignment horizontal="left" vertical="center" wrapText="1"/>
    </xf>
    <xf numFmtId="0" fontId="3" fillId="0" borderId="40" xfId="0" applyFont="1" applyBorder="1" applyAlignment="1">
      <alignment wrapText="1"/>
    </xf>
    <xf numFmtId="0" fontId="20" fillId="12" borderId="39" xfId="0" applyFont="1" applyFill="1" applyBorder="1" applyAlignment="1">
      <alignment vertical="center" wrapText="1"/>
    </xf>
    <xf numFmtId="0" fontId="3" fillId="0" borderId="47" xfId="0" applyFont="1" applyBorder="1" applyAlignment="1">
      <alignment wrapText="1"/>
    </xf>
    <xf numFmtId="3" fontId="3" fillId="0" borderId="47" xfId="0" applyNumberFormat="1" applyFont="1" applyBorder="1"/>
    <xf numFmtId="0" fontId="3" fillId="0" borderId="48" xfId="0" applyFont="1" applyBorder="1"/>
    <xf numFmtId="0" fontId="20" fillId="12" borderId="49" xfId="0" applyFont="1" applyFill="1" applyBorder="1" applyAlignment="1">
      <alignment horizontal="left" vertical="center" wrapText="1"/>
    </xf>
    <xf numFmtId="0" fontId="3" fillId="0" borderId="40" xfId="0" applyFont="1" applyBorder="1"/>
    <xf numFmtId="166" fontId="24" fillId="0" borderId="57" xfId="0" applyNumberFormat="1" applyFont="1" applyBorder="1" applyAlignment="1">
      <alignment horizontal="center" vertical="center"/>
    </xf>
    <xf numFmtId="0" fontId="3" fillId="0" borderId="58" xfId="0" applyFont="1" applyBorder="1"/>
    <xf numFmtId="0" fontId="24" fillId="0" borderId="0" xfId="0" applyFont="1"/>
    <xf numFmtId="0" fontId="29" fillId="16" borderId="67" xfId="0" applyFont="1" applyFill="1" applyBorder="1" applyAlignment="1">
      <alignment vertical="center" wrapText="1"/>
    </xf>
    <xf numFmtId="0" fontId="3" fillId="0" borderId="68" xfId="0" applyFont="1" applyBorder="1" applyAlignment="1">
      <alignment wrapText="1"/>
    </xf>
    <xf numFmtId="0" fontId="6" fillId="0" borderId="0" xfId="0" applyFont="1" applyAlignment="1">
      <alignment horizontal="center" vertical="center"/>
    </xf>
    <xf numFmtId="0" fontId="6" fillId="17" borderId="23" xfId="0" applyFont="1" applyFill="1" applyBorder="1" applyAlignment="1">
      <alignment vertical="top" wrapText="1"/>
    </xf>
    <xf numFmtId="0" fontId="3" fillId="0" borderId="25" xfId="0" applyFont="1" applyBorder="1" applyAlignment="1">
      <alignment wrapText="1"/>
    </xf>
    <xf numFmtId="0" fontId="2" fillId="3" borderId="72" xfId="0" applyFont="1" applyFill="1" applyBorder="1" applyAlignment="1">
      <alignment horizontal="left" wrapText="1"/>
    </xf>
    <xf numFmtId="0" fontId="3" fillId="0" borderId="73" xfId="0" applyFont="1" applyBorder="1"/>
    <xf numFmtId="0" fontId="3" fillId="0" borderId="74" xfId="0" applyFont="1" applyBorder="1"/>
    <xf numFmtId="14" fontId="35" fillId="3" borderId="23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46">
    <dxf>
      <fill>
        <patternFill>
          <bgColor rgb="FFA5A5A5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EEECE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none"/>
      </fill>
      <border>
        <right style="thin">
          <color rgb="FFD8D8D8"/>
        </right>
      </border>
    </dxf>
    <dxf>
      <fill>
        <patternFill>
          <bgColor rgb="FF7F7F7F"/>
        </patternFill>
      </fill>
    </dxf>
    <dxf>
      <fill>
        <patternFill>
          <bgColor rgb="FF3969AD"/>
        </patternFill>
      </fill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>
          <bgColor rgb="FF3969AD"/>
        </patternFill>
      </fill>
    </dxf>
    <dxf>
      <fill>
        <patternFill>
          <bgColor rgb="FF7F7F7F"/>
        </patternFill>
      </fill>
    </dxf>
    <dxf>
      <fill>
        <patternFill patternType="none"/>
      </fill>
      <border>
        <right style="thin">
          <color rgb="FFD8D8D8"/>
        </right>
      </border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none"/>
      </fill>
      <border>
        <right style="thin">
          <color rgb="FFD8D8D8"/>
        </right>
      </border>
    </dxf>
    <dxf>
      <fill>
        <patternFill>
          <bgColor rgb="FF3969AD"/>
        </patternFill>
      </fill>
    </dxf>
    <dxf>
      <fill>
        <patternFill>
          <bgColor rgb="FF7F7F7F"/>
        </patternFill>
      </fill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none"/>
      </fill>
      <border>
        <left style="thin">
          <color rgb="FFC00000"/>
        </left>
        <right style="thin">
          <color rgb="FFC00000"/>
        </right>
      </border>
    </dxf>
    <dxf>
      <fill>
        <patternFill patternType="none"/>
      </fill>
      <border>
        <right style="thin">
          <color rgb="FFD8D8D8"/>
        </right>
      </border>
    </dxf>
    <dxf>
      <fill>
        <patternFill>
          <bgColor rgb="FF3969AD"/>
        </patternFill>
      </fill>
    </dxf>
    <dxf>
      <fill>
        <patternFill>
          <bgColor rgb="FF7F7F7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f2f8a225d644455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36</xdr:col>
      <xdr:colOff>114300</xdr:colOff>
      <xdr:row>47</xdr:row>
      <xdr:rowOff>254000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1F37D037-A2F1-75C1-1E82-24B265A49EB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theanh" id="{2391CE4E-0A68-F0BB-5EB1-47E31FEE393A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A5D9C"/>
      </a:accent1>
      <a:accent2>
        <a:srgbClr val="C04E4E"/>
      </a:accent2>
      <a:accent3>
        <a:srgbClr val="E68422"/>
      </a:accent3>
      <a:accent4>
        <a:srgbClr val="846648"/>
      </a:accent4>
      <a:accent5>
        <a:srgbClr val="26AA26"/>
      </a:accent5>
      <a:accent6>
        <a:srgbClr val="7860B4"/>
      </a:accent6>
      <a:hlink>
        <a:srgbClr val="4C92AE"/>
      </a:hlink>
      <a:folHlink>
        <a:srgbClr val="4C92A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mailto:hangpt@hnue.edu.vn" TargetMode="External"/><Relationship Id="rId1" Type="http://schemas.openxmlformats.org/officeDocument/2006/relationships/hyperlink" Target="mailto:trungdt@hnue.edu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/>
  </sheetViews>
  <sheetFormatPr baseColWidth="10" defaultColWidth="12.6640625" defaultRowHeight="14" x14ac:dyDescent="0.15"/>
  <cols>
    <col min="1" max="1" width="1.83203125" customWidth="1"/>
    <col min="2" max="2" width="6.5" customWidth="1"/>
    <col min="3" max="3" width="53.83203125" customWidth="1"/>
    <col min="4" max="27" width="2.6640625" customWidth="1"/>
  </cols>
  <sheetData>
    <row r="1" spans="1:27" ht="18" customHeight="1" x14ac:dyDescent="0.2">
      <c r="B1" s="1" t="s">
        <v>77</v>
      </c>
    </row>
    <row r="2" spans="1:27" ht="18" customHeight="1" x14ac:dyDescent="0.15">
      <c r="B2" s="234" t="s">
        <v>78</v>
      </c>
      <c r="C2" s="235"/>
      <c r="D2" s="238">
        <v>2026</v>
      </c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40"/>
      <c r="P2" s="238">
        <v>2027</v>
      </c>
      <c r="Q2" s="239"/>
      <c r="R2" s="239"/>
      <c r="S2" s="239"/>
      <c r="T2" s="239"/>
      <c r="U2" s="239"/>
      <c r="V2" s="239"/>
      <c r="W2" s="239"/>
      <c r="X2" s="239"/>
      <c r="Y2" s="239"/>
      <c r="Z2" s="239"/>
      <c r="AA2" s="241"/>
    </row>
    <row r="3" spans="1:27" ht="18" customHeight="1" x14ac:dyDescent="0.15">
      <c r="B3" s="236"/>
      <c r="C3" s="237"/>
      <c r="D3" s="2">
        <v>1</v>
      </c>
      <c r="E3" s="2">
        <v>2</v>
      </c>
      <c r="F3" s="2">
        <v>3</v>
      </c>
      <c r="G3" s="2">
        <v>4</v>
      </c>
      <c r="H3" s="2">
        <v>5</v>
      </c>
      <c r="I3" s="2">
        <v>6</v>
      </c>
      <c r="J3" s="2">
        <v>7</v>
      </c>
      <c r="K3" s="2">
        <v>8</v>
      </c>
      <c r="L3" s="2">
        <v>9</v>
      </c>
      <c r="M3" s="2">
        <v>10</v>
      </c>
      <c r="N3" s="2">
        <v>11</v>
      </c>
      <c r="O3" s="2">
        <v>12</v>
      </c>
      <c r="P3" s="3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2">
        <v>7</v>
      </c>
      <c r="W3" s="2">
        <v>8</v>
      </c>
      <c r="X3" s="2">
        <v>9</v>
      </c>
      <c r="Y3" s="2">
        <v>10</v>
      </c>
      <c r="Z3" s="2">
        <v>11</v>
      </c>
      <c r="AA3" s="4">
        <v>12</v>
      </c>
    </row>
    <row r="4" spans="1:27" ht="18" customHeight="1" x14ac:dyDescent="0.15">
      <c r="B4" s="167"/>
      <c r="C4" s="168" t="s">
        <v>79</v>
      </c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8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  <c r="AA4" s="170"/>
    </row>
    <row r="5" spans="1:27" ht="18" customHeight="1" x14ac:dyDescent="0.15">
      <c r="B5" s="171" t="s">
        <v>80</v>
      </c>
      <c r="C5" s="172" t="s">
        <v>81</v>
      </c>
      <c r="D5" s="173"/>
      <c r="E5" s="173"/>
      <c r="F5" s="173"/>
      <c r="G5" s="173"/>
      <c r="H5" s="174" t="s">
        <v>82</v>
      </c>
      <c r="I5" s="174" t="s">
        <v>82</v>
      </c>
      <c r="J5" s="175" t="s">
        <v>82</v>
      </c>
      <c r="K5" s="175" t="s">
        <v>82</v>
      </c>
      <c r="L5" s="176"/>
      <c r="M5" s="176"/>
      <c r="N5" s="176"/>
      <c r="O5" s="177"/>
      <c r="P5" s="173"/>
      <c r="Q5" s="173"/>
      <c r="R5" s="173"/>
      <c r="S5" s="173"/>
      <c r="T5" s="173"/>
      <c r="U5" s="173"/>
      <c r="V5" s="173"/>
      <c r="W5" s="173"/>
      <c r="X5" s="173"/>
      <c r="Y5" s="178"/>
      <c r="Z5" s="178"/>
      <c r="AA5" s="179"/>
    </row>
    <row r="6" spans="1:27" ht="18" customHeight="1" x14ac:dyDescent="0.15">
      <c r="B6" s="171" t="s">
        <v>83</v>
      </c>
      <c r="C6" s="172" t="s">
        <v>84</v>
      </c>
      <c r="D6" s="173"/>
      <c r="E6" s="173"/>
      <c r="F6" s="173"/>
      <c r="G6" s="173"/>
      <c r="H6" s="173"/>
      <c r="I6" s="174" t="s">
        <v>82</v>
      </c>
      <c r="J6" s="175" t="s">
        <v>82</v>
      </c>
      <c r="K6" s="175" t="s">
        <v>82</v>
      </c>
      <c r="L6" s="176"/>
      <c r="M6" s="176"/>
      <c r="N6" s="176"/>
      <c r="O6" s="177"/>
      <c r="P6" s="173"/>
      <c r="Q6" s="173"/>
      <c r="R6" s="173"/>
      <c r="S6" s="173"/>
      <c r="T6" s="173"/>
      <c r="U6" s="173"/>
      <c r="V6" s="173"/>
      <c r="W6" s="173"/>
      <c r="X6" s="173"/>
      <c r="Y6" s="178"/>
      <c r="Z6" s="178"/>
      <c r="AA6" s="179"/>
    </row>
    <row r="7" spans="1:27" ht="18" customHeight="1" x14ac:dyDescent="0.15">
      <c r="A7" s="6"/>
      <c r="B7" s="180"/>
      <c r="C7" s="181" t="s">
        <v>85</v>
      </c>
      <c r="D7" s="182"/>
      <c r="E7" s="182"/>
      <c r="F7" s="182"/>
      <c r="G7" s="182"/>
      <c r="H7" s="182"/>
      <c r="I7" s="182"/>
      <c r="J7" s="182"/>
      <c r="K7" s="182"/>
      <c r="L7" s="182"/>
      <c r="M7" s="182"/>
      <c r="N7" s="182"/>
      <c r="O7" s="181"/>
      <c r="P7" s="182"/>
      <c r="Q7" s="182"/>
      <c r="R7" s="182"/>
      <c r="S7" s="182"/>
      <c r="T7" s="182"/>
      <c r="U7" s="182"/>
      <c r="V7" s="182"/>
      <c r="W7" s="182"/>
      <c r="X7" s="182"/>
      <c r="Y7" s="183"/>
      <c r="Z7" s="183"/>
      <c r="AA7" s="184"/>
    </row>
    <row r="8" spans="1:27" ht="18" customHeight="1" x14ac:dyDescent="0.15">
      <c r="B8" s="185" t="s">
        <v>86</v>
      </c>
      <c r="C8" s="186" t="s">
        <v>87</v>
      </c>
      <c r="D8" s="173"/>
      <c r="E8" s="173"/>
      <c r="F8" s="173"/>
      <c r="G8" s="173"/>
      <c r="H8" s="173"/>
      <c r="I8" s="173"/>
      <c r="J8" s="176"/>
      <c r="K8" s="175" t="s">
        <v>82</v>
      </c>
      <c r="L8" s="175" t="s">
        <v>82</v>
      </c>
      <c r="M8" s="176"/>
      <c r="N8" s="173"/>
      <c r="O8" s="173"/>
      <c r="P8" s="187"/>
      <c r="Q8" s="173"/>
      <c r="R8" s="173"/>
      <c r="S8" s="173"/>
      <c r="T8" s="173"/>
      <c r="U8" s="173"/>
      <c r="V8" s="173"/>
      <c r="W8" s="173"/>
      <c r="X8" s="173"/>
      <c r="Y8" s="178"/>
      <c r="Z8" s="178"/>
      <c r="AA8" s="179"/>
    </row>
    <row r="9" spans="1:27" ht="18" customHeight="1" x14ac:dyDescent="0.15">
      <c r="B9" s="185" t="s">
        <v>88</v>
      </c>
      <c r="C9" s="186" t="s">
        <v>89</v>
      </c>
      <c r="D9" s="173"/>
      <c r="E9" s="173"/>
      <c r="F9" s="173"/>
      <c r="G9" s="173"/>
      <c r="H9" s="173"/>
      <c r="I9" s="173"/>
      <c r="J9" s="173"/>
      <c r="K9" s="174" t="s">
        <v>82</v>
      </c>
      <c r="L9" s="175" t="s">
        <v>82</v>
      </c>
      <c r="M9" s="176"/>
      <c r="N9" s="176"/>
      <c r="O9" s="173"/>
      <c r="P9" s="187"/>
      <c r="Q9" s="173"/>
      <c r="R9" s="173"/>
      <c r="S9" s="173"/>
      <c r="T9" s="173"/>
      <c r="U9" s="173"/>
      <c r="V9" s="173"/>
      <c r="W9" s="173"/>
      <c r="X9" s="173"/>
      <c r="Y9" s="178"/>
      <c r="Z9" s="178"/>
      <c r="AA9" s="179"/>
    </row>
    <row r="10" spans="1:27" ht="18" customHeight="1" x14ac:dyDescent="0.15">
      <c r="B10" s="185" t="s">
        <v>90</v>
      </c>
      <c r="C10" s="186" t="s">
        <v>91</v>
      </c>
      <c r="D10" s="173"/>
      <c r="E10" s="173"/>
      <c r="F10" s="173"/>
      <c r="G10" s="173"/>
      <c r="H10" s="173"/>
      <c r="I10" s="173"/>
      <c r="J10" s="173"/>
      <c r="K10" s="174" t="s">
        <v>82</v>
      </c>
      <c r="L10" s="175" t="s">
        <v>82</v>
      </c>
      <c r="M10" s="176"/>
      <c r="N10" s="176"/>
      <c r="O10" s="173"/>
      <c r="P10" s="187"/>
      <c r="Q10" s="173"/>
      <c r="R10" s="173"/>
      <c r="S10" s="173"/>
      <c r="T10" s="173"/>
      <c r="U10" s="173"/>
      <c r="V10" s="173"/>
      <c r="W10" s="173"/>
      <c r="X10" s="173"/>
      <c r="Y10" s="178"/>
      <c r="Z10" s="178"/>
      <c r="AA10" s="179"/>
    </row>
    <row r="11" spans="1:27" ht="18" customHeight="1" x14ac:dyDescent="0.15">
      <c r="B11" s="185" t="s">
        <v>92</v>
      </c>
      <c r="C11" s="172" t="s">
        <v>93</v>
      </c>
      <c r="D11" s="173"/>
      <c r="E11" s="173"/>
      <c r="F11" s="173"/>
      <c r="G11" s="173"/>
      <c r="H11" s="173"/>
      <c r="I11" s="173"/>
      <c r="J11" s="173"/>
      <c r="K11" s="175" t="s">
        <v>82</v>
      </c>
      <c r="L11" s="175" t="s">
        <v>82</v>
      </c>
      <c r="M11" s="176"/>
      <c r="N11" s="176"/>
      <c r="O11" s="173"/>
      <c r="P11" s="187"/>
      <c r="Q11" s="173"/>
      <c r="R11" s="173"/>
      <c r="S11" s="173"/>
      <c r="T11" s="173"/>
      <c r="U11" s="173"/>
      <c r="V11" s="173"/>
      <c r="W11" s="173"/>
      <c r="X11" s="173"/>
      <c r="Y11" s="178"/>
      <c r="Z11" s="178"/>
      <c r="AA11" s="179"/>
    </row>
    <row r="12" spans="1:27" ht="18" customHeight="1" x14ac:dyDescent="0.15">
      <c r="B12" s="185" t="s">
        <v>94</v>
      </c>
      <c r="C12" s="172" t="s">
        <v>95</v>
      </c>
      <c r="D12" s="173"/>
      <c r="E12" s="173"/>
      <c r="F12" s="173"/>
      <c r="G12" s="173"/>
      <c r="H12" s="173"/>
      <c r="I12" s="173"/>
      <c r="J12" s="173"/>
      <c r="K12" s="174" t="s">
        <v>82</v>
      </c>
      <c r="L12" s="174" t="s">
        <v>82</v>
      </c>
      <c r="M12" s="174" t="s">
        <v>82</v>
      </c>
      <c r="N12" s="173"/>
      <c r="O12" s="173"/>
      <c r="P12" s="187"/>
      <c r="Q12" s="173"/>
      <c r="R12" s="176"/>
      <c r="S12" s="176"/>
      <c r="T12" s="176"/>
      <c r="U12" s="173"/>
      <c r="V12" s="173"/>
      <c r="W12" s="173"/>
      <c r="X12" s="173"/>
      <c r="Y12" s="178"/>
      <c r="Z12" s="178"/>
      <c r="AA12" s="179"/>
    </row>
    <row r="13" spans="1:27" ht="18" customHeight="1" x14ac:dyDescent="0.15">
      <c r="B13" s="188"/>
      <c r="C13" s="189" t="s">
        <v>96</v>
      </c>
      <c r="D13" s="190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1"/>
      <c r="Q13" s="182"/>
      <c r="R13" s="182"/>
      <c r="S13" s="190"/>
      <c r="T13" s="190"/>
      <c r="U13" s="190"/>
      <c r="V13" s="190"/>
      <c r="W13" s="190"/>
      <c r="X13" s="190"/>
      <c r="Y13" s="192"/>
      <c r="Z13" s="192"/>
      <c r="AA13" s="193"/>
    </row>
    <row r="14" spans="1:27" ht="18" customHeight="1" x14ac:dyDescent="0.15">
      <c r="B14" s="185" t="s">
        <v>97</v>
      </c>
      <c r="C14" s="186" t="s">
        <v>98</v>
      </c>
      <c r="D14" s="173"/>
      <c r="E14" s="173"/>
      <c r="F14" s="173"/>
      <c r="G14" s="173"/>
      <c r="H14" s="173"/>
      <c r="I14" s="173"/>
      <c r="J14" s="173"/>
      <c r="K14" s="173"/>
      <c r="L14" s="175" t="s">
        <v>82</v>
      </c>
      <c r="M14" s="175" t="s">
        <v>82</v>
      </c>
      <c r="N14" s="176"/>
      <c r="O14" s="176"/>
      <c r="P14" s="187"/>
      <c r="Q14" s="173"/>
      <c r="R14" s="173"/>
      <c r="S14" s="173"/>
      <c r="T14" s="173"/>
      <c r="U14" s="173"/>
      <c r="V14" s="173"/>
      <c r="W14" s="173"/>
      <c r="X14" s="173"/>
      <c r="Y14" s="178"/>
      <c r="Z14" s="178"/>
      <c r="AA14" s="179"/>
    </row>
    <row r="15" spans="1:27" ht="18" customHeight="1" x14ac:dyDescent="0.15">
      <c r="B15" s="185" t="s">
        <v>99</v>
      </c>
      <c r="C15" s="186" t="s">
        <v>100</v>
      </c>
      <c r="D15" s="173"/>
      <c r="E15" s="173"/>
      <c r="F15" s="173"/>
      <c r="G15" s="173"/>
      <c r="H15" s="173"/>
      <c r="I15" s="173"/>
      <c r="J15" s="173"/>
      <c r="K15" s="173"/>
      <c r="L15" s="173"/>
      <c r="M15" s="175" t="s">
        <v>82</v>
      </c>
      <c r="N15" s="175" t="s">
        <v>82</v>
      </c>
      <c r="O15" s="173"/>
      <c r="P15" s="187"/>
      <c r="Q15" s="173"/>
      <c r="R15" s="173"/>
      <c r="S15" s="173"/>
      <c r="T15" s="173"/>
      <c r="U15" s="173"/>
      <c r="V15" s="173"/>
      <c r="W15" s="173"/>
      <c r="X15" s="173"/>
      <c r="Y15" s="178"/>
      <c r="Z15" s="178"/>
      <c r="AA15" s="179"/>
    </row>
    <row r="16" spans="1:27" ht="18" customHeight="1" x14ac:dyDescent="0.15">
      <c r="B16" s="185" t="s">
        <v>101</v>
      </c>
      <c r="C16" s="186" t="s">
        <v>102</v>
      </c>
      <c r="D16" s="173"/>
      <c r="E16" s="173"/>
      <c r="F16" s="173"/>
      <c r="G16" s="173"/>
      <c r="H16" s="173"/>
      <c r="I16" s="173"/>
      <c r="J16" s="173"/>
      <c r="K16" s="174" t="s">
        <v>82</v>
      </c>
      <c r="L16" s="174" t="s">
        <v>82</v>
      </c>
      <c r="M16" s="173"/>
      <c r="N16" s="173"/>
      <c r="O16" s="173"/>
      <c r="P16" s="187"/>
      <c r="Q16" s="173"/>
      <c r="R16" s="176"/>
      <c r="S16" s="176"/>
      <c r="T16" s="176"/>
      <c r="U16" s="176"/>
      <c r="V16" s="173"/>
      <c r="W16" s="173"/>
      <c r="X16" s="173"/>
      <c r="Y16" s="178"/>
      <c r="Z16" s="178"/>
      <c r="AA16" s="179"/>
    </row>
    <row r="17" spans="2:27" ht="18" customHeight="1" x14ac:dyDescent="0.15">
      <c r="B17" s="188"/>
      <c r="C17" s="189" t="s">
        <v>103</v>
      </c>
      <c r="D17" s="190"/>
      <c r="E17" s="190"/>
      <c r="F17" s="190"/>
      <c r="G17" s="190"/>
      <c r="H17" s="190"/>
      <c r="I17" s="190"/>
      <c r="J17" s="190"/>
      <c r="K17" s="190"/>
      <c r="L17" s="190"/>
      <c r="M17" s="190"/>
      <c r="N17" s="182"/>
      <c r="O17" s="182"/>
      <c r="P17" s="194"/>
      <c r="Q17" s="190"/>
      <c r="R17" s="190"/>
      <c r="S17" s="190"/>
      <c r="T17" s="190"/>
      <c r="U17" s="190"/>
      <c r="V17" s="190"/>
      <c r="W17" s="190"/>
      <c r="X17" s="190"/>
      <c r="Y17" s="192"/>
      <c r="Z17" s="192"/>
      <c r="AA17" s="193"/>
    </row>
    <row r="18" spans="2:27" ht="18" customHeight="1" x14ac:dyDescent="0.15">
      <c r="B18" s="185" t="s">
        <v>104</v>
      </c>
      <c r="C18" s="186" t="s">
        <v>105</v>
      </c>
      <c r="D18" s="173"/>
      <c r="E18" s="173"/>
      <c r="F18" s="173"/>
      <c r="G18" s="173"/>
      <c r="H18" s="173"/>
      <c r="I18" s="173"/>
      <c r="J18" s="173"/>
      <c r="K18" s="176"/>
      <c r="L18" s="175" t="s">
        <v>82</v>
      </c>
      <c r="M18" s="175" t="s">
        <v>82</v>
      </c>
      <c r="N18" s="176"/>
      <c r="O18" s="173"/>
      <c r="P18" s="187"/>
      <c r="Q18" s="173"/>
      <c r="R18" s="173"/>
      <c r="S18" s="173"/>
      <c r="T18" s="173"/>
      <c r="U18" s="173"/>
      <c r="V18" s="173"/>
      <c r="W18" s="173"/>
      <c r="X18" s="173"/>
      <c r="Y18" s="178"/>
      <c r="Z18" s="178"/>
      <c r="AA18" s="179"/>
    </row>
    <row r="19" spans="2:27" ht="18" customHeight="1" x14ac:dyDescent="0.15">
      <c r="B19" s="185" t="s">
        <v>106</v>
      </c>
      <c r="C19" s="186" t="s">
        <v>107</v>
      </c>
      <c r="D19" s="173"/>
      <c r="E19" s="173"/>
      <c r="F19" s="173"/>
      <c r="G19" s="173"/>
      <c r="H19" s="173"/>
      <c r="I19" s="173"/>
      <c r="J19" s="173"/>
      <c r="K19" s="176"/>
      <c r="L19" s="176"/>
      <c r="M19" s="175" t="s">
        <v>82</v>
      </c>
      <c r="N19" s="175" t="s">
        <v>82</v>
      </c>
      <c r="O19" s="173"/>
      <c r="P19" s="187"/>
      <c r="Q19" s="173"/>
      <c r="R19" s="173"/>
      <c r="S19" s="173"/>
      <c r="T19" s="173"/>
      <c r="U19" s="173"/>
      <c r="V19" s="173"/>
      <c r="W19" s="173"/>
      <c r="X19" s="173"/>
      <c r="Y19" s="178"/>
      <c r="Z19" s="178"/>
      <c r="AA19" s="179"/>
    </row>
    <row r="20" spans="2:27" ht="18" customHeight="1" x14ac:dyDescent="0.15">
      <c r="B20" s="185" t="s">
        <v>108</v>
      </c>
      <c r="C20" s="186" t="s">
        <v>109</v>
      </c>
      <c r="D20" s="173"/>
      <c r="E20" s="173"/>
      <c r="F20" s="173"/>
      <c r="G20" s="173"/>
      <c r="H20" s="173"/>
      <c r="I20" s="173"/>
      <c r="J20" s="173"/>
      <c r="K20" s="176"/>
      <c r="L20" s="175" t="s">
        <v>82</v>
      </c>
      <c r="M20" s="176"/>
      <c r="N20" s="176"/>
      <c r="O20" s="173"/>
      <c r="P20" s="187"/>
      <c r="Q20" s="173"/>
      <c r="R20" s="173"/>
      <c r="S20" s="173"/>
      <c r="T20" s="173"/>
      <c r="U20" s="173"/>
      <c r="V20" s="173"/>
      <c r="W20" s="173"/>
      <c r="X20" s="173"/>
      <c r="Y20" s="178"/>
      <c r="Z20" s="178"/>
      <c r="AA20" s="179"/>
    </row>
    <row r="21" spans="2:27" ht="18" customHeight="1" x14ac:dyDescent="0.15">
      <c r="B21" s="185" t="s">
        <v>110</v>
      </c>
      <c r="C21" s="172" t="s">
        <v>111</v>
      </c>
      <c r="D21" s="173"/>
      <c r="E21" s="173"/>
      <c r="F21" s="173"/>
      <c r="G21" s="173"/>
      <c r="H21" s="173"/>
      <c r="I21" s="173"/>
      <c r="J21" s="173"/>
      <c r="K21" s="176"/>
      <c r="L21" s="175" t="s">
        <v>82</v>
      </c>
      <c r="M21" s="175" t="s">
        <v>82</v>
      </c>
      <c r="N21" s="176"/>
      <c r="O21" s="176"/>
      <c r="P21" s="187"/>
      <c r="Q21" s="173"/>
      <c r="R21" s="173"/>
      <c r="S21" s="173"/>
      <c r="T21" s="173"/>
      <c r="U21" s="173"/>
      <c r="V21" s="173"/>
      <c r="W21" s="173"/>
      <c r="X21" s="173"/>
      <c r="Y21" s="178"/>
      <c r="Z21" s="178"/>
      <c r="AA21" s="179"/>
    </row>
    <row r="22" spans="2:27" ht="18" customHeight="1" x14ac:dyDescent="0.15">
      <c r="B22" s="188"/>
      <c r="C22" s="195" t="s">
        <v>112</v>
      </c>
      <c r="D22" s="190"/>
      <c r="E22" s="190"/>
      <c r="F22" s="190"/>
      <c r="G22" s="190"/>
      <c r="H22" s="190"/>
      <c r="I22" s="190"/>
      <c r="J22" s="190"/>
      <c r="K22" s="182"/>
      <c r="L22" s="182"/>
      <c r="M22" s="182"/>
      <c r="N22" s="182"/>
      <c r="O22" s="182"/>
      <c r="P22" s="194"/>
      <c r="Q22" s="190"/>
      <c r="R22" s="190"/>
      <c r="S22" s="190"/>
      <c r="T22" s="190"/>
      <c r="U22" s="190"/>
      <c r="V22" s="190"/>
      <c r="W22" s="190"/>
      <c r="X22" s="190"/>
      <c r="Y22" s="192"/>
      <c r="Z22" s="192"/>
      <c r="AA22" s="193"/>
    </row>
    <row r="23" spans="2:27" ht="18" customHeight="1" x14ac:dyDescent="0.15">
      <c r="B23" s="185" t="s">
        <v>113</v>
      </c>
      <c r="C23" s="172" t="s">
        <v>114</v>
      </c>
      <c r="D23" s="173"/>
      <c r="E23" s="173"/>
      <c r="F23" s="173"/>
      <c r="G23" s="173"/>
      <c r="H23" s="173"/>
      <c r="I23" s="173"/>
      <c r="J23" s="173"/>
      <c r="K23" s="176"/>
      <c r="L23" s="176"/>
      <c r="M23" s="175" t="s">
        <v>82</v>
      </c>
      <c r="N23" s="176"/>
      <c r="O23" s="176"/>
      <c r="P23" s="187"/>
      <c r="Q23" s="173"/>
      <c r="R23" s="173"/>
      <c r="S23" s="173"/>
      <c r="T23" s="173"/>
      <c r="U23" s="173"/>
      <c r="V23" s="173"/>
      <c r="W23" s="173"/>
      <c r="X23" s="173"/>
      <c r="Y23" s="178"/>
      <c r="Z23" s="178"/>
      <c r="AA23" s="179"/>
    </row>
    <row r="24" spans="2:27" ht="18" customHeight="1" x14ac:dyDescent="0.15">
      <c r="B24" s="185" t="s">
        <v>115</v>
      </c>
      <c r="C24" s="172" t="s">
        <v>116</v>
      </c>
      <c r="D24" s="173"/>
      <c r="E24" s="173"/>
      <c r="F24" s="173"/>
      <c r="G24" s="173"/>
      <c r="H24" s="173"/>
      <c r="I24" s="173"/>
      <c r="J24" s="173"/>
      <c r="K24" s="176"/>
      <c r="L24" s="176"/>
      <c r="M24" s="175" t="s">
        <v>82</v>
      </c>
      <c r="N24" s="175" t="s">
        <v>82</v>
      </c>
      <c r="O24" s="176"/>
      <c r="P24" s="187"/>
      <c r="Q24" s="173"/>
      <c r="R24" s="173"/>
      <c r="S24" s="173"/>
      <c r="T24" s="173"/>
      <c r="U24" s="173"/>
      <c r="V24" s="173"/>
      <c r="W24" s="173"/>
      <c r="X24" s="173"/>
      <c r="Y24" s="178"/>
      <c r="Z24" s="178"/>
      <c r="AA24" s="179"/>
    </row>
    <row r="25" spans="2:27" ht="18" customHeight="1" x14ac:dyDescent="0.15">
      <c r="B25" s="185" t="s">
        <v>117</v>
      </c>
      <c r="C25" s="172" t="s">
        <v>118</v>
      </c>
      <c r="D25" s="173"/>
      <c r="E25" s="173"/>
      <c r="F25" s="173"/>
      <c r="G25" s="173"/>
      <c r="H25" s="173"/>
      <c r="I25" s="173"/>
      <c r="J25" s="173"/>
      <c r="K25" s="173"/>
      <c r="L25" s="173"/>
      <c r="M25" s="174" t="s">
        <v>82</v>
      </c>
      <c r="N25" s="174" t="s">
        <v>82</v>
      </c>
      <c r="O25" s="173"/>
      <c r="P25" s="187"/>
      <c r="Q25" s="173"/>
      <c r="R25" s="176"/>
      <c r="S25" s="176"/>
      <c r="T25" s="176"/>
      <c r="U25" s="173"/>
      <c r="V25" s="173"/>
      <c r="W25" s="173"/>
      <c r="X25" s="173"/>
      <c r="Y25" s="178"/>
      <c r="Z25" s="178"/>
      <c r="AA25" s="179"/>
    </row>
    <row r="26" spans="2:27" ht="18" customHeight="1" x14ac:dyDescent="0.15"/>
    <row r="27" spans="2:27" ht="18" customHeight="1" x14ac:dyDescent="0.15"/>
    <row r="28" spans="2:27" ht="18" customHeight="1" x14ac:dyDescent="0.15"/>
    <row r="29" spans="2:27" ht="18" customHeight="1" x14ac:dyDescent="0.15"/>
    <row r="30" spans="2:27" ht="18" customHeight="1" x14ac:dyDescent="0.15"/>
    <row r="31" spans="2:27" ht="18" customHeight="1" x14ac:dyDescent="0.15"/>
    <row r="32" spans="2:27" ht="18" customHeight="1" x14ac:dyDescent="0.15"/>
    <row r="33" ht="18" customHeight="1" x14ac:dyDescent="0.15"/>
    <row r="34" ht="18" customHeight="1" x14ac:dyDescent="0.15"/>
    <row r="35" ht="18" customHeight="1" x14ac:dyDescent="0.15"/>
    <row r="36" ht="18" customHeight="1" x14ac:dyDescent="0.15"/>
    <row r="37" ht="18" customHeight="1" x14ac:dyDescent="0.15"/>
    <row r="38" ht="18" customHeight="1" x14ac:dyDescent="0.15"/>
    <row r="39" ht="18" customHeight="1" x14ac:dyDescent="0.15"/>
    <row r="40" ht="18" customHeight="1" x14ac:dyDescent="0.15"/>
    <row r="41" ht="18" customHeight="1" x14ac:dyDescent="0.15"/>
    <row r="42" ht="18" customHeight="1" x14ac:dyDescent="0.15"/>
    <row r="43" ht="18" customHeight="1" x14ac:dyDescent="0.15"/>
    <row r="44" ht="18" customHeight="1" x14ac:dyDescent="0.15"/>
    <row r="45" ht="18" customHeight="1" x14ac:dyDescent="0.15"/>
    <row r="46" ht="18" customHeight="1" x14ac:dyDescent="0.15"/>
    <row r="47" ht="18" customHeight="1" x14ac:dyDescent="0.15"/>
    <row r="48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  <row r="549" ht="18" customHeight="1" x14ac:dyDescent="0.15"/>
    <row r="550" ht="18" customHeight="1" x14ac:dyDescent="0.15"/>
    <row r="551" ht="18" customHeight="1" x14ac:dyDescent="0.15"/>
    <row r="552" ht="18" customHeight="1" x14ac:dyDescent="0.15"/>
    <row r="553" ht="18" customHeight="1" x14ac:dyDescent="0.15"/>
    <row r="554" ht="18" customHeight="1" x14ac:dyDescent="0.15"/>
    <row r="555" ht="18" customHeight="1" x14ac:dyDescent="0.15"/>
    <row r="556" ht="18" customHeight="1" x14ac:dyDescent="0.15"/>
    <row r="557" ht="18" customHeight="1" x14ac:dyDescent="0.15"/>
    <row r="558" ht="18" customHeight="1" x14ac:dyDescent="0.15"/>
    <row r="559" ht="18" customHeight="1" x14ac:dyDescent="0.15"/>
    <row r="560" ht="18" customHeight="1" x14ac:dyDescent="0.15"/>
    <row r="561" ht="18" customHeight="1" x14ac:dyDescent="0.15"/>
    <row r="562" ht="18" customHeight="1" x14ac:dyDescent="0.15"/>
    <row r="563" ht="18" customHeight="1" x14ac:dyDescent="0.15"/>
    <row r="564" ht="18" customHeight="1" x14ac:dyDescent="0.15"/>
    <row r="565" ht="18" customHeight="1" x14ac:dyDescent="0.15"/>
    <row r="566" ht="18" customHeight="1" x14ac:dyDescent="0.15"/>
    <row r="567" ht="18" customHeight="1" x14ac:dyDescent="0.15"/>
    <row r="568" ht="18" customHeight="1" x14ac:dyDescent="0.15"/>
    <row r="569" ht="18" customHeight="1" x14ac:dyDescent="0.15"/>
    <row r="570" ht="18" customHeight="1" x14ac:dyDescent="0.15"/>
    <row r="571" ht="18" customHeight="1" x14ac:dyDescent="0.15"/>
    <row r="572" ht="18" customHeight="1" x14ac:dyDescent="0.15"/>
    <row r="573" ht="18" customHeight="1" x14ac:dyDescent="0.15"/>
    <row r="574" ht="18" customHeight="1" x14ac:dyDescent="0.15"/>
    <row r="575" ht="18" customHeight="1" x14ac:dyDescent="0.15"/>
    <row r="576" ht="18" customHeight="1" x14ac:dyDescent="0.15"/>
    <row r="577" ht="18" customHeight="1" x14ac:dyDescent="0.15"/>
    <row r="578" ht="18" customHeight="1" x14ac:dyDescent="0.15"/>
    <row r="579" ht="18" customHeight="1" x14ac:dyDescent="0.15"/>
    <row r="580" ht="18" customHeight="1" x14ac:dyDescent="0.15"/>
    <row r="581" ht="18" customHeight="1" x14ac:dyDescent="0.15"/>
    <row r="582" ht="18" customHeight="1" x14ac:dyDescent="0.15"/>
    <row r="583" ht="18" customHeight="1" x14ac:dyDescent="0.15"/>
    <row r="584" ht="18" customHeight="1" x14ac:dyDescent="0.15"/>
    <row r="585" ht="18" customHeight="1" x14ac:dyDescent="0.15"/>
    <row r="586" ht="18" customHeight="1" x14ac:dyDescent="0.15"/>
    <row r="587" ht="18" customHeight="1" x14ac:dyDescent="0.15"/>
    <row r="588" ht="18" customHeight="1" x14ac:dyDescent="0.15"/>
    <row r="589" ht="18" customHeight="1" x14ac:dyDescent="0.15"/>
    <row r="590" ht="18" customHeight="1" x14ac:dyDescent="0.15"/>
    <row r="591" ht="18" customHeight="1" x14ac:dyDescent="0.15"/>
    <row r="592" ht="18" customHeight="1" x14ac:dyDescent="0.15"/>
    <row r="593" ht="18" customHeight="1" x14ac:dyDescent="0.15"/>
    <row r="594" ht="18" customHeight="1" x14ac:dyDescent="0.15"/>
    <row r="595" ht="18" customHeight="1" x14ac:dyDescent="0.15"/>
    <row r="596" ht="18" customHeight="1" x14ac:dyDescent="0.15"/>
    <row r="597" ht="18" customHeight="1" x14ac:dyDescent="0.15"/>
    <row r="598" ht="18" customHeight="1" x14ac:dyDescent="0.15"/>
    <row r="599" ht="18" customHeight="1" x14ac:dyDescent="0.15"/>
    <row r="600" ht="18" customHeight="1" x14ac:dyDescent="0.15"/>
    <row r="601" ht="18" customHeight="1" x14ac:dyDescent="0.15"/>
    <row r="602" ht="18" customHeight="1" x14ac:dyDescent="0.15"/>
    <row r="603" ht="18" customHeight="1" x14ac:dyDescent="0.15"/>
    <row r="604" ht="18" customHeight="1" x14ac:dyDescent="0.15"/>
    <row r="605" ht="18" customHeight="1" x14ac:dyDescent="0.15"/>
    <row r="606" ht="18" customHeight="1" x14ac:dyDescent="0.15"/>
    <row r="607" ht="18" customHeight="1" x14ac:dyDescent="0.15"/>
    <row r="608" ht="18" customHeight="1" x14ac:dyDescent="0.15"/>
    <row r="609" ht="18" customHeight="1" x14ac:dyDescent="0.15"/>
    <row r="610" ht="18" customHeight="1" x14ac:dyDescent="0.15"/>
    <row r="611" ht="18" customHeight="1" x14ac:dyDescent="0.15"/>
    <row r="612" ht="18" customHeight="1" x14ac:dyDescent="0.15"/>
    <row r="613" ht="18" customHeight="1" x14ac:dyDescent="0.15"/>
    <row r="614" ht="18" customHeight="1" x14ac:dyDescent="0.15"/>
    <row r="615" ht="18" customHeight="1" x14ac:dyDescent="0.15"/>
    <row r="616" ht="18" customHeight="1" x14ac:dyDescent="0.15"/>
    <row r="617" ht="18" customHeight="1" x14ac:dyDescent="0.15"/>
    <row r="618" ht="18" customHeight="1" x14ac:dyDescent="0.15"/>
    <row r="619" ht="18" customHeight="1" x14ac:dyDescent="0.15"/>
    <row r="620" ht="18" customHeight="1" x14ac:dyDescent="0.15"/>
    <row r="621" ht="18" customHeight="1" x14ac:dyDescent="0.15"/>
    <row r="622" ht="18" customHeight="1" x14ac:dyDescent="0.15"/>
    <row r="623" ht="18" customHeight="1" x14ac:dyDescent="0.15"/>
    <row r="624" ht="18" customHeight="1" x14ac:dyDescent="0.15"/>
    <row r="625" ht="18" customHeight="1" x14ac:dyDescent="0.15"/>
    <row r="626" ht="18" customHeight="1" x14ac:dyDescent="0.15"/>
    <row r="627" ht="18" customHeight="1" x14ac:dyDescent="0.15"/>
    <row r="628" ht="18" customHeight="1" x14ac:dyDescent="0.15"/>
    <row r="629" ht="18" customHeight="1" x14ac:dyDescent="0.15"/>
    <row r="630" ht="18" customHeight="1" x14ac:dyDescent="0.15"/>
    <row r="631" ht="18" customHeight="1" x14ac:dyDescent="0.15"/>
    <row r="632" ht="18" customHeight="1" x14ac:dyDescent="0.15"/>
    <row r="633" ht="18" customHeight="1" x14ac:dyDescent="0.15"/>
    <row r="634" ht="18" customHeight="1" x14ac:dyDescent="0.15"/>
    <row r="635" ht="18" customHeight="1" x14ac:dyDescent="0.15"/>
    <row r="636" ht="18" customHeight="1" x14ac:dyDescent="0.15"/>
    <row r="637" ht="18" customHeight="1" x14ac:dyDescent="0.15"/>
    <row r="638" ht="18" customHeight="1" x14ac:dyDescent="0.15"/>
    <row r="639" ht="18" customHeight="1" x14ac:dyDescent="0.15"/>
    <row r="640" ht="18" customHeight="1" x14ac:dyDescent="0.15"/>
    <row r="641" ht="18" customHeight="1" x14ac:dyDescent="0.15"/>
    <row r="642" ht="18" customHeight="1" x14ac:dyDescent="0.15"/>
    <row r="643" ht="18" customHeight="1" x14ac:dyDescent="0.15"/>
    <row r="644" ht="18" customHeight="1" x14ac:dyDescent="0.15"/>
    <row r="645" ht="18" customHeight="1" x14ac:dyDescent="0.15"/>
    <row r="646" ht="18" customHeight="1" x14ac:dyDescent="0.15"/>
    <row r="647" ht="18" customHeight="1" x14ac:dyDescent="0.15"/>
    <row r="648" ht="18" customHeight="1" x14ac:dyDescent="0.15"/>
    <row r="649" ht="18" customHeight="1" x14ac:dyDescent="0.15"/>
    <row r="650" ht="18" customHeight="1" x14ac:dyDescent="0.15"/>
    <row r="651" ht="18" customHeight="1" x14ac:dyDescent="0.15"/>
    <row r="652" ht="18" customHeight="1" x14ac:dyDescent="0.15"/>
    <row r="653" ht="18" customHeight="1" x14ac:dyDescent="0.15"/>
    <row r="654" ht="18" customHeight="1" x14ac:dyDescent="0.15"/>
    <row r="655" ht="18" customHeight="1" x14ac:dyDescent="0.15"/>
    <row r="656" ht="18" customHeight="1" x14ac:dyDescent="0.15"/>
    <row r="657" ht="18" customHeight="1" x14ac:dyDescent="0.15"/>
    <row r="658" ht="18" customHeight="1" x14ac:dyDescent="0.15"/>
    <row r="659" ht="18" customHeight="1" x14ac:dyDescent="0.15"/>
    <row r="660" ht="18" customHeight="1" x14ac:dyDescent="0.15"/>
    <row r="661" ht="18" customHeight="1" x14ac:dyDescent="0.15"/>
    <row r="662" ht="18" customHeight="1" x14ac:dyDescent="0.15"/>
    <row r="663" ht="18" customHeight="1" x14ac:dyDescent="0.15"/>
    <row r="664" ht="18" customHeight="1" x14ac:dyDescent="0.15"/>
    <row r="665" ht="18" customHeight="1" x14ac:dyDescent="0.15"/>
    <row r="666" ht="18" customHeight="1" x14ac:dyDescent="0.15"/>
    <row r="667" ht="18" customHeight="1" x14ac:dyDescent="0.15"/>
    <row r="668" ht="18" customHeight="1" x14ac:dyDescent="0.15"/>
    <row r="669" ht="18" customHeight="1" x14ac:dyDescent="0.15"/>
    <row r="670" ht="18" customHeight="1" x14ac:dyDescent="0.15"/>
    <row r="671" ht="18" customHeight="1" x14ac:dyDescent="0.15"/>
    <row r="672" ht="18" customHeight="1" x14ac:dyDescent="0.15"/>
    <row r="673" ht="18" customHeight="1" x14ac:dyDescent="0.15"/>
    <row r="674" ht="18" customHeight="1" x14ac:dyDescent="0.15"/>
    <row r="675" ht="18" customHeight="1" x14ac:dyDescent="0.15"/>
    <row r="676" ht="18" customHeight="1" x14ac:dyDescent="0.15"/>
    <row r="677" ht="18" customHeight="1" x14ac:dyDescent="0.15"/>
    <row r="678" ht="18" customHeight="1" x14ac:dyDescent="0.15"/>
    <row r="679" ht="18" customHeight="1" x14ac:dyDescent="0.15"/>
    <row r="680" ht="18" customHeight="1" x14ac:dyDescent="0.15"/>
    <row r="681" ht="18" customHeight="1" x14ac:dyDescent="0.15"/>
    <row r="682" ht="18" customHeight="1" x14ac:dyDescent="0.15"/>
    <row r="683" ht="18" customHeight="1" x14ac:dyDescent="0.15"/>
    <row r="684" ht="18" customHeight="1" x14ac:dyDescent="0.15"/>
    <row r="685" ht="18" customHeight="1" x14ac:dyDescent="0.15"/>
    <row r="686" ht="18" customHeight="1" x14ac:dyDescent="0.15"/>
    <row r="687" ht="18" customHeight="1" x14ac:dyDescent="0.15"/>
    <row r="688" ht="18" customHeight="1" x14ac:dyDescent="0.15"/>
    <row r="689" ht="18" customHeight="1" x14ac:dyDescent="0.15"/>
    <row r="690" ht="18" customHeight="1" x14ac:dyDescent="0.15"/>
    <row r="691" ht="18" customHeight="1" x14ac:dyDescent="0.15"/>
    <row r="692" ht="18" customHeight="1" x14ac:dyDescent="0.15"/>
    <row r="693" ht="18" customHeight="1" x14ac:dyDescent="0.15"/>
    <row r="694" ht="18" customHeight="1" x14ac:dyDescent="0.15"/>
    <row r="695" ht="18" customHeight="1" x14ac:dyDescent="0.15"/>
    <row r="696" ht="18" customHeight="1" x14ac:dyDescent="0.15"/>
    <row r="697" ht="18" customHeight="1" x14ac:dyDescent="0.15"/>
    <row r="698" ht="18" customHeight="1" x14ac:dyDescent="0.15"/>
    <row r="699" ht="18" customHeight="1" x14ac:dyDescent="0.15"/>
    <row r="700" ht="18" customHeight="1" x14ac:dyDescent="0.15"/>
    <row r="701" ht="18" customHeight="1" x14ac:dyDescent="0.15"/>
    <row r="702" ht="18" customHeight="1" x14ac:dyDescent="0.15"/>
    <row r="703" ht="18" customHeight="1" x14ac:dyDescent="0.15"/>
    <row r="704" ht="18" customHeight="1" x14ac:dyDescent="0.15"/>
    <row r="705" ht="18" customHeight="1" x14ac:dyDescent="0.15"/>
    <row r="706" ht="18" customHeight="1" x14ac:dyDescent="0.15"/>
    <row r="707" ht="18" customHeight="1" x14ac:dyDescent="0.15"/>
    <row r="708" ht="18" customHeight="1" x14ac:dyDescent="0.15"/>
    <row r="709" ht="18" customHeight="1" x14ac:dyDescent="0.15"/>
    <row r="710" ht="18" customHeight="1" x14ac:dyDescent="0.15"/>
    <row r="711" ht="18" customHeight="1" x14ac:dyDescent="0.15"/>
    <row r="712" ht="18" customHeight="1" x14ac:dyDescent="0.15"/>
    <row r="713" ht="18" customHeight="1" x14ac:dyDescent="0.15"/>
    <row r="714" ht="18" customHeight="1" x14ac:dyDescent="0.15"/>
    <row r="715" ht="18" customHeight="1" x14ac:dyDescent="0.15"/>
    <row r="716" ht="18" customHeight="1" x14ac:dyDescent="0.15"/>
    <row r="717" ht="18" customHeight="1" x14ac:dyDescent="0.15"/>
    <row r="718" ht="18" customHeight="1" x14ac:dyDescent="0.15"/>
    <row r="719" ht="18" customHeight="1" x14ac:dyDescent="0.15"/>
    <row r="720" ht="18" customHeight="1" x14ac:dyDescent="0.15"/>
    <row r="721" ht="18" customHeight="1" x14ac:dyDescent="0.15"/>
    <row r="722" ht="18" customHeight="1" x14ac:dyDescent="0.15"/>
    <row r="723" ht="18" customHeight="1" x14ac:dyDescent="0.15"/>
    <row r="724" ht="18" customHeight="1" x14ac:dyDescent="0.15"/>
    <row r="725" ht="18" customHeight="1" x14ac:dyDescent="0.15"/>
    <row r="726" ht="18" customHeight="1" x14ac:dyDescent="0.15"/>
    <row r="727" ht="18" customHeight="1" x14ac:dyDescent="0.15"/>
    <row r="728" ht="18" customHeight="1" x14ac:dyDescent="0.15"/>
    <row r="729" ht="18" customHeight="1" x14ac:dyDescent="0.15"/>
    <row r="730" ht="18" customHeight="1" x14ac:dyDescent="0.15"/>
    <row r="731" ht="18" customHeight="1" x14ac:dyDescent="0.15"/>
    <row r="732" ht="18" customHeight="1" x14ac:dyDescent="0.15"/>
    <row r="733" ht="18" customHeight="1" x14ac:dyDescent="0.15"/>
    <row r="734" ht="18" customHeight="1" x14ac:dyDescent="0.15"/>
    <row r="735" ht="18" customHeight="1" x14ac:dyDescent="0.15"/>
    <row r="736" ht="18" customHeight="1" x14ac:dyDescent="0.15"/>
    <row r="737" ht="18" customHeight="1" x14ac:dyDescent="0.15"/>
    <row r="738" ht="18" customHeight="1" x14ac:dyDescent="0.15"/>
    <row r="739" ht="18" customHeight="1" x14ac:dyDescent="0.15"/>
    <row r="740" ht="18" customHeight="1" x14ac:dyDescent="0.15"/>
    <row r="741" ht="18" customHeight="1" x14ac:dyDescent="0.15"/>
    <row r="742" ht="18" customHeight="1" x14ac:dyDescent="0.15"/>
    <row r="743" ht="18" customHeight="1" x14ac:dyDescent="0.15"/>
    <row r="744" ht="18" customHeight="1" x14ac:dyDescent="0.15"/>
    <row r="745" ht="18" customHeight="1" x14ac:dyDescent="0.15"/>
    <row r="746" ht="18" customHeight="1" x14ac:dyDescent="0.15"/>
    <row r="747" ht="18" customHeight="1" x14ac:dyDescent="0.15"/>
    <row r="748" ht="18" customHeight="1" x14ac:dyDescent="0.15"/>
    <row r="749" ht="18" customHeight="1" x14ac:dyDescent="0.15"/>
    <row r="750" ht="18" customHeight="1" x14ac:dyDescent="0.15"/>
    <row r="751" ht="18" customHeight="1" x14ac:dyDescent="0.15"/>
    <row r="752" ht="18" customHeight="1" x14ac:dyDescent="0.15"/>
    <row r="753" ht="18" customHeight="1" x14ac:dyDescent="0.15"/>
    <row r="754" ht="18" customHeight="1" x14ac:dyDescent="0.15"/>
    <row r="755" ht="18" customHeight="1" x14ac:dyDescent="0.15"/>
    <row r="756" ht="18" customHeight="1" x14ac:dyDescent="0.15"/>
    <row r="757" ht="18" customHeight="1" x14ac:dyDescent="0.15"/>
    <row r="758" ht="18" customHeight="1" x14ac:dyDescent="0.15"/>
    <row r="759" ht="18" customHeight="1" x14ac:dyDescent="0.15"/>
    <row r="760" ht="18" customHeight="1" x14ac:dyDescent="0.15"/>
    <row r="761" ht="18" customHeight="1" x14ac:dyDescent="0.15"/>
    <row r="762" ht="18" customHeight="1" x14ac:dyDescent="0.15"/>
    <row r="763" ht="18" customHeight="1" x14ac:dyDescent="0.15"/>
    <row r="764" ht="18" customHeight="1" x14ac:dyDescent="0.15"/>
    <row r="765" ht="18" customHeight="1" x14ac:dyDescent="0.15"/>
    <row r="766" ht="18" customHeight="1" x14ac:dyDescent="0.15"/>
    <row r="767" ht="18" customHeight="1" x14ac:dyDescent="0.15"/>
    <row r="768" ht="18" customHeight="1" x14ac:dyDescent="0.15"/>
    <row r="769" ht="18" customHeight="1" x14ac:dyDescent="0.15"/>
    <row r="770" ht="18" customHeight="1" x14ac:dyDescent="0.15"/>
    <row r="771" ht="18" customHeight="1" x14ac:dyDescent="0.15"/>
    <row r="772" ht="18" customHeight="1" x14ac:dyDescent="0.15"/>
    <row r="773" ht="18" customHeight="1" x14ac:dyDescent="0.15"/>
    <row r="774" ht="18" customHeight="1" x14ac:dyDescent="0.15"/>
    <row r="775" ht="18" customHeight="1" x14ac:dyDescent="0.15"/>
    <row r="776" ht="18" customHeight="1" x14ac:dyDescent="0.15"/>
    <row r="777" ht="18" customHeight="1" x14ac:dyDescent="0.15"/>
    <row r="778" ht="18" customHeight="1" x14ac:dyDescent="0.15"/>
    <row r="779" ht="18" customHeight="1" x14ac:dyDescent="0.15"/>
    <row r="780" ht="18" customHeight="1" x14ac:dyDescent="0.15"/>
    <row r="781" ht="18" customHeight="1" x14ac:dyDescent="0.15"/>
    <row r="782" ht="18" customHeight="1" x14ac:dyDescent="0.15"/>
    <row r="783" ht="18" customHeight="1" x14ac:dyDescent="0.15"/>
    <row r="784" ht="18" customHeight="1" x14ac:dyDescent="0.15"/>
    <row r="785" ht="18" customHeight="1" x14ac:dyDescent="0.15"/>
    <row r="786" ht="18" customHeight="1" x14ac:dyDescent="0.15"/>
    <row r="787" ht="18" customHeight="1" x14ac:dyDescent="0.15"/>
    <row r="788" ht="18" customHeight="1" x14ac:dyDescent="0.15"/>
    <row r="789" ht="18" customHeight="1" x14ac:dyDescent="0.15"/>
    <row r="790" ht="18" customHeight="1" x14ac:dyDescent="0.15"/>
    <row r="791" ht="18" customHeight="1" x14ac:dyDescent="0.15"/>
    <row r="792" ht="18" customHeight="1" x14ac:dyDescent="0.15"/>
    <row r="793" ht="18" customHeight="1" x14ac:dyDescent="0.15"/>
    <row r="794" ht="18" customHeight="1" x14ac:dyDescent="0.15"/>
    <row r="795" ht="18" customHeight="1" x14ac:dyDescent="0.15"/>
    <row r="796" ht="18" customHeight="1" x14ac:dyDescent="0.15"/>
    <row r="797" ht="18" customHeight="1" x14ac:dyDescent="0.15"/>
    <row r="798" ht="18" customHeight="1" x14ac:dyDescent="0.15"/>
    <row r="799" ht="18" customHeight="1" x14ac:dyDescent="0.15"/>
    <row r="800" ht="18" customHeight="1" x14ac:dyDescent="0.15"/>
    <row r="801" ht="18" customHeight="1" x14ac:dyDescent="0.15"/>
    <row r="802" ht="18" customHeight="1" x14ac:dyDescent="0.15"/>
    <row r="803" ht="18" customHeight="1" x14ac:dyDescent="0.15"/>
    <row r="804" ht="18" customHeight="1" x14ac:dyDescent="0.15"/>
    <row r="805" ht="18" customHeight="1" x14ac:dyDescent="0.15"/>
    <row r="806" ht="18" customHeight="1" x14ac:dyDescent="0.15"/>
    <row r="807" ht="18" customHeight="1" x14ac:dyDescent="0.15"/>
    <row r="808" ht="18" customHeight="1" x14ac:dyDescent="0.15"/>
    <row r="809" ht="18" customHeight="1" x14ac:dyDescent="0.15"/>
    <row r="810" ht="18" customHeight="1" x14ac:dyDescent="0.15"/>
    <row r="811" ht="18" customHeight="1" x14ac:dyDescent="0.15"/>
    <row r="812" ht="18" customHeight="1" x14ac:dyDescent="0.15"/>
    <row r="813" ht="18" customHeight="1" x14ac:dyDescent="0.15"/>
    <row r="814" ht="18" customHeight="1" x14ac:dyDescent="0.15"/>
    <row r="815" ht="18" customHeight="1" x14ac:dyDescent="0.15"/>
    <row r="816" ht="18" customHeight="1" x14ac:dyDescent="0.15"/>
    <row r="817" ht="18" customHeight="1" x14ac:dyDescent="0.15"/>
    <row r="818" ht="18" customHeight="1" x14ac:dyDescent="0.15"/>
    <row r="819" ht="18" customHeight="1" x14ac:dyDescent="0.15"/>
    <row r="820" ht="18" customHeight="1" x14ac:dyDescent="0.15"/>
    <row r="821" ht="18" customHeight="1" x14ac:dyDescent="0.15"/>
    <row r="822" ht="18" customHeight="1" x14ac:dyDescent="0.15"/>
    <row r="823" ht="18" customHeight="1" x14ac:dyDescent="0.15"/>
    <row r="824" ht="18" customHeight="1" x14ac:dyDescent="0.15"/>
    <row r="825" ht="18" customHeight="1" x14ac:dyDescent="0.15"/>
    <row r="826" ht="18" customHeight="1" x14ac:dyDescent="0.15"/>
    <row r="827" ht="18" customHeight="1" x14ac:dyDescent="0.15"/>
    <row r="828" ht="18" customHeight="1" x14ac:dyDescent="0.15"/>
    <row r="829" ht="18" customHeight="1" x14ac:dyDescent="0.15"/>
    <row r="830" ht="18" customHeight="1" x14ac:dyDescent="0.15"/>
    <row r="831" ht="18" customHeight="1" x14ac:dyDescent="0.15"/>
    <row r="832" ht="18" customHeight="1" x14ac:dyDescent="0.15"/>
    <row r="833" ht="18" customHeight="1" x14ac:dyDescent="0.15"/>
    <row r="834" ht="18" customHeight="1" x14ac:dyDescent="0.15"/>
    <row r="835" ht="18" customHeight="1" x14ac:dyDescent="0.15"/>
    <row r="836" ht="18" customHeight="1" x14ac:dyDescent="0.15"/>
    <row r="837" ht="18" customHeight="1" x14ac:dyDescent="0.15"/>
    <row r="838" ht="18" customHeight="1" x14ac:dyDescent="0.15"/>
    <row r="839" ht="18" customHeight="1" x14ac:dyDescent="0.15"/>
    <row r="840" ht="18" customHeight="1" x14ac:dyDescent="0.15"/>
    <row r="841" ht="18" customHeight="1" x14ac:dyDescent="0.15"/>
    <row r="842" ht="18" customHeight="1" x14ac:dyDescent="0.15"/>
    <row r="843" ht="18" customHeight="1" x14ac:dyDescent="0.15"/>
    <row r="844" ht="18" customHeight="1" x14ac:dyDescent="0.15"/>
    <row r="845" ht="18" customHeight="1" x14ac:dyDescent="0.15"/>
    <row r="846" ht="18" customHeight="1" x14ac:dyDescent="0.15"/>
    <row r="847" ht="18" customHeight="1" x14ac:dyDescent="0.15"/>
    <row r="848" ht="18" customHeight="1" x14ac:dyDescent="0.15"/>
    <row r="849" ht="18" customHeight="1" x14ac:dyDescent="0.15"/>
    <row r="850" ht="18" customHeight="1" x14ac:dyDescent="0.15"/>
    <row r="851" ht="18" customHeight="1" x14ac:dyDescent="0.15"/>
    <row r="852" ht="18" customHeight="1" x14ac:dyDescent="0.15"/>
    <row r="853" ht="18" customHeight="1" x14ac:dyDescent="0.15"/>
    <row r="854" ht="18" customHeight="1" x14ac:dyDescent="0.15"/>
    <row r="855" ht="18" customHeight="1" x14ac:dyDescent="0.15"/>
    <row r="856" ht="18" customHeight="1" x14ac:dyDescent="0.15"/>
    <row r="857" ht="18" customHeight="1" x14ac:dyDescent="0.15"/>
    <row r="858" ht="18" customHeight="1" x14ac:dyDescent="0.15"/>
    <row r="859" ht="18" customHeight="1" x14ac:dyDescent="0.15"/>
    <row r="860" ht="18" customHeight="1" x14ac:dyDescent="0.15"/>
    <row r="861" ht="18" customHeight="1" x14ac:dyDescent="0.15"/>
    <row r="862" ht="18" customHeight="1" x14ac:dyDescent="0.15"/>
    <row r="863" ht="18" customHeight="1" x14ac:dyDescent="0.15"/>
    <row r="864" ht="18" customHeight="1" x14ac:dyDescent="0.15"/>
    <row r="865" ht="18" customHeight="1" x14ac:dyDescent="0.15"/>
    <row r="866" ht="18" customHeight="1" x14ac:dyDescent="0.15"/>
    <row r="867" ht="18" customHeight="1" x14ac:dyDescent="0.15"/>
    <row r="868" ht="18" customHeight="1" x14ac:dyDescent="0.15"/>
    <row r="869" ht="18" customHeight="1" x14ac:dyDescent="0.15"/>
    <row r="870" ht="18" customHeight="1" x14ac:dyDescent="0.15"/>
    <row r="871" ht="18" customHeight="1" x14ac:dyDescent="0.15"/>
    <row r="872" ht="18" customHeight="1" x14ac:dyDescent="0.15"/>
    <row r="873" ht="18" customHeight="1" x14ac:dyDescent="0.15"/>
    <row r="874" ht="18" customHeight="1" x14ac:dyDescent="0.15"/>
    <row r="875" ht="18" customHeight="1" x14ac:dyDescent="0.15"/>
    <row r="876" ht="18" customHeight="1" x14ac:dyDescent="0.15"/>
    <row r="877" ht="18" customHeight="1" x14ac:dyDescent="0.15"/>
    <row r="878" ht="18" customHeight="1" x14ac:dyDescent="0.15"/>
    <row r="879" ht="18" customHeight="1" x14ac:dyDescent="0.15"/>
    <row r="880" ht="18" customHeight="1" x14ac:dyDescent="0.15"/>
    <row r="881" ht="18" customHeight="1" x14ac:dyDescent="0.15"/>
    <row r="882" ht="18" customHeight="1" x14ac:dyDescent="0.15"/>
    <row r="883" ht="18" customHeight="1" x14ac:dyDescent="0.15"/>
    <row r="884" ht="18" customHeight="1" x14ac:dyDescent="0.15"/>
    <row r="885" ht="18" customHeight="1" x14ac:dyDescent="0.15"/>
    <row r="886" ht="18" customHeight="1" x14ac:dyDescent="0.15"/>
    <row r="887" ht="18" customHeight="1" x14ac:dyDescent="0.15"/>
    <row r="888" ht="18" customHeight="1" x14ac:dyDescent="0.15"/>
    <row r="889" ht="18" customHeight="1" x14ac:dyDescent="0.15"/>
    <row r="890" ht="18" customHeight="1" x14ac:dyDescent="0.15"/>
    <row r="891" ht="18" customHeight="1" x14ac:dyDescent="0.15"/>
    <row r="892" ht="18" customHeight="1" x14ac:dyDescent="0.15"/>
    <row r="893" ht="18" customHeight="1" x14ac:dyDescent="0.15"/>
    <row r="894" ht="18" customHeight="1" x14ac:dyDescent="0.15"/>
    <row r="895" ht="18" customHeight="1" x14ac:dyDescent="0.15"/>
    <row r="896" ht="18" customHeight="1" x14ac:dyDescent="0.15"/>
    <row r="897" ht="18" customHeight="1" x14ac:dyDescent="0.15"/>
    <row r="898" ht="18" customHeight="1" x14ac:dyDescent="0.15"/>
    <row r="899" ht="18" customHeight="1" x14ac:dyDescent="0.15"/>
    <row r="900" ht="18" customHeight="1" x14ac:dyDescent="0.15"/>
    <row r="901" ht="18" customHeight="1" x14ac:dyDescent="0.15"/>
    <row r="902" ht="18" customHeight="1" x14ac:dyDescent="0.15"/>
    <row r="903" ht="18" customHeight="1" x14ac:dyDescent="0.15"/>
    <row r="904" ht="18" customHeight="1" x14ac:dyDescent="0.15"/>
    <row r="905" ht="18" customHeight="1" x14ac:dyDescent="0.15"/>
    <row r="906" ht="18" customHeight="1" x14ac:dyDescent="0.15"/>
    <row r="907" ht="18" customHeight="1" x14ac:dyDescent="0.15"/>
    <row r="908" ht="18" customHeight="1" x14ac:dyDescent="0.15"/>
    <row r="909" ht="18" customHeight="1" x14ac:dyDescent="0.15"/>
    <row r="910" ht="18" customHeight="1" x14ac:dyDescent="0.15"/>
    <row r="911" ht="18" customHeight="1" x14ac:dyDescent="0.15"/>
    <row r="912" ht="18" customHeight="1" x14ac:dyDescent="0.15"/>
    <row r="913" ht="18" customHeight="1" x14ac:dyDescent="0.15"/>
    <row r="914" ht="18" customHeight="1" x14ac:dyDescent="0.15"/>
    <row r="915" ht="18" customHeight="1" x14ac:dyDescent="0.15"/>
    <row r="916" ht="18" customHeight="1" x14ac:dyDescent="0.15"/>
    <row r="917" ht="18" customHeight="1" x14ac:dyDescent="0.15"/>
    <row r="918" ht="18" customHeight="1" x14ac:dyDescent="0.15"/>
    <row r="919" ht="18" customHeight="1" x14ac:dyDescent="0.15"/>
    <row r="920" ht="18" customHeight="1" x14ac:dyDescent="0.15"/>
    <row r="921" ht="18" customHeight="1" x14ac:dyDescent="0.15"/>
    <row r="922" ht="18" customHeight="1" x14ac:dyDescent="0.15"/>
    <row r="923" ht="18" customHeight="1" x14ac:dyDescent="0.15"/>
    <row r="924" ht="18" customHeight="1" x14ac:dyDescent="0.15"/>
    <row r="925" ht="18" customHeight="1" x14ac:dyDescent="0.15"/>
    <row r="926" ht="18" customHeight="1" x14ac:dyDescent="0.15"/>
    <row r="927" ht="18" customHeight="1" x14ac:dyDescent="0.15"/>
    <row r="928" ht="18" customHeight="1" x14ac:dyDescent="0.15"/>
    <row r="929" ht="18" customHeight="1" x14ac:dyDescent="0.15"/>
    <row r="930" ht="18" customHeight="1" x14ac:dyDescent="0.15"/>
    <row r="931" ht="18" customHeight="1" x14ac:dyDescent="0.15"/>
    <row r="932" ht="18" customHeight="1" x14ac:dyDescent="0.15"/>
    <row r="933" ht="18" customHeight="1" x14ac:dyDescent="0.15"/>
    <row r="934" ht="18" customHeight="1" x14ac:dyDescent="0.15"/>
    <row r="935" ht="18" customHeight="1" x14ac:dyDescent="0.15"/>
    <row r="936" ht="18" customHeight="1" x14ac:dyDescent="0.15"/>
    <row r="937" ht="18" customHeight="1" x14ac:dyDescent="0.15"/>
    <row r="938" ht="18" customHeight="1" x14ac:dyDescent="0.15"/>
    <row r="939" ht="18" customHeight="1" x14ac:dyDescent="0.15"/>
    <row r="940" ht="18" customHeight="1" x14ac:dyDescent="0.15"/>
    <row r="941" ht="18" customHeight="1" x14ac:dyDescent="0.15"/>
    <row r="942" ht="18" customHeight="1" x14ac:dyDescent="0.15"/>
    <row r="943" ht="18" customHeight="1" x14ac:dyDescent="0.15"/>
    <row r="944" ht="18" customHeight="1" x14ac:dyDescent="0.15"/>
    <row r="945" ht="18" customHeight="1" x14ac:dyDescent="0.15"/>
    <row r="946" ht="18" customHeight="1" x14ac:dyDescent="0.15"/>
    <row r="947" ht="18" customHeight="1" x14ac:dyDescent="0.15"/>
    <row r="948" ht="18" customHeight="1" x14ac:dyDescent="0.15"/>
    <row r="949" ht="18" customHeight="1" x14ac:dyDescent="0.15"/>
    <row r="950" ht="18" customHeight="1" x14ac:dyDescent="0.15"/>
    <row r="951" ht="18" customHeight="1" x14ac:dyDescent="0.15"/>
    <row r="952" ht="18" customHeight="1" x14ac:dyDescent="0.15"/>
    <row r="953" ht="18" customHeight="1" x14ac:dyDescent="0.15"/>
    <row r="954" ht="18" customHeight="1" x14ac:dyDescent="0.15"/>
    <row r="955" ht="18" customHeight="1" x14ac:dyDescent="0.15"/>
    <row r="956" ht="18" customHeight="1" x14ac:dyDescent="0.15"/>
    <row r="957" ht="18" customHeight="1" x14ac:dyDescent="0.15"/>
    <row r="958" ht="18" customHeight="1" x14ac:dyDescent="0.15"/>
    <row r="959" ht="18" customHeight="1" x14ac:dyDescent="0.15"/>
    <row r="960" ht="18" customHeight="1" x14ac:dyDescent="0.15"/>
    <row r="961" ht="18" customHeight="1" x14ac:dyDescent="0.15"/>
    <row r="962" ht="18" customHeight="1" x14ac:dyDescent="0.15"/>
    <row r="963" ht="18" customHeight="1" x14ac:dyDescent="0.15"/>
    <row r="964" ht="18" customHeight="1" x14ac:dyDescent="0.15"/>
    <row r="965" ht="18" customHeight="1" x14ac:dyDescent="0.15"/>
    <row r="966" ht="18" customHeight="1" x14ac:dyDescent="0.15"/>
    <row r="967" ht="18" customHeight="1" x14ac:dyDescent="0.15"/>
    <row r="968" ht="18" customHeight="1" x14ac:dyDescent="0.15"/>
    <row r="969" ht="18" customHeight="1" x14ac:dyDescent="0.15"/>
    <row r="970" ht="18" customHeight="1" x14ac:dyDescent="0.15"/>
    <row r="971" ht="18" customHeight="1" x14ac:dyDescent="0.15"/>
    <row r="972" ht="18" customHeight="1" x14ac:dyDescent="0.15"/>
    <row r="973" ht="18" customHeight="1" x14ac:dyDescent="0.15"/>
    <row r="974" ht="18" customHeight="1" x14ac:dyDescent="0.15"/>
    <row r="975" ht="18" customHeight="1" x14ac:dyDescent="0.15"/>
    <row r="976" ht="18" customHeight="1" x14ac:dyDescent="0.15"/>
    <row r="977" ht="18" customHeight="1" x14ac:dyDescent="0.15"/>
    <row r="978" ht="18" customHeight="1" x14ac:dyDescent="0.15"/>
    <row r="979" ht="18" customHeight="1" x14ac:dyDescent="0.15"/>
    <row r="980" ht="18" customHeight="1" x14ac:dyDescent="0.15"/>
    <row r="981" ht="18" customHeight="1" x14ac:dyDescent="0.15"/>
    <row r="982" ht="18" customHeight="1" x14ac:dyDescent="0.15"/>
    <row r="983" ht="18" customHeight="1" x14ac:dyDescent="0.15"/>
    <row r="984" ht="18" customHeight="1" x14ac:dyDescent="0.15"/>
    <row r="985" ht="18" customHeight="1" x14ac:dyDescent="0.15"/>
    <row r="986" ht="18" customHeight="1" x14ac:dyDescent="0.15"/>
    <row r="987" ht="18" customHeight="1" x14ac:dyDescent="0.15"/>
    <row r="988" ht="18" customHeight="1" x14ac:dyDescent="0.15"/>
    <row r="989" ht="18" customHeight="1" x14ac:dyDescent="0.15"/>
    <row r="990" ht="18" customHeight="1" x14ac:dyDescent="0.15"/>
    <row r="991" ht="18" customHeight="1" x14ac:dyDescent="0.15"/>
    <row r="992" ht="18" customHeight="1" x14ac:dyDescent="0.15"/>
    <row r="993" ht="18" customHeight="1" x14ac:dyDescent="0.15"/>
    <row r="994" ht="18" customHeight="1" x14ac:dyDescent="0.15"/>
    <row r="995" ht="18" customHeight="1" x14ac:dyDescent="0.15"/>
    <row r="996" ht="18" customHeight="1" x14ac:dyDescent="0.15"/>
    <row r="997" ht="18" customHeight="1" x14ac:dyDescent="0.15"/>
    <row r="998" ht="18" customHeight="1" x14ac:dyDescent="0.15"/>
    <row r="999" ht="18" customHeight="1" x14ac:dyDescent="0.15"/>
    <row r="1000" ht="18" customHeight="1" x14ac:dyDescent="0.15"/>
  </sheetData>
  <mergeCells count="3">
    <mergeCell ref="B2:C3"/>
    <mergeCell ref="D2:O2"/>
    <mergeCell ref="P2:AA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sqref="A1:E1"/>
    </sheetView>
  </sheetViews>
  <sheetFormatPr baseColWidth="10" defaultColWidth="12.6640625" defaultRowHeight="14" x14ac:dyDescent="0.15"/>
  <cols>
    <col min="1" max="1" width="27.1640625" customWidth="1"/>
    <col min="2" max="2" width="8.83203125" customWidth="1"/>
    <col min="3" max="3" width="24.33203125" customWidth="1"/>
    <col min="4" max="4" width="19.33203125" customWidth="1"/>
    <col min="5" max="5" width="36.1640625" customWidth="1"/>
    <col min="6" max="26" width="8.83203125" customWidth="1"/>
  </cols>
  <sheetData>
    <row r="1" spans="1:7" ht="33" customHeight="1" x14ac:dyDescent="0.15">
      <c r="A1" s="242" t="s">
        <v>0</v>
      </c>
      <c r="B1" s="243"/>
      <c r="C1" s="243"/>
      <c r="D1" s="243"/>
      <c r="E1" s="244"/>
    </row>
    <row r="2" spans="1:7" ht="18" customHeight="1" x14ac:dyDescent="0.15">
      <c r="A2" s="7" t="s">
        <v>1</v>
      </c>
      <c r="B2" s="245" t="s">
        <v>119</v>
      </c>
      <c r="C2" s="243"/>
      <c r="D2" s="243"/>
      <c r="E2" s="244"/>
    </row>
    <row r="3" spans="1:7" ht="18" customHeight="1" x14ac:dyDescent="0.15">
      <c r="A3" s="7" t="s">
        <v>2</v>
      </c>
      <c r="B3" s="245" t="s">
        <v>120</v>
      </c>
      <c r="C3" s="243"/>
      <c r="D3" s="243"/>
      <c r="E3" s="244"/>
    </row>
    <row r="4" spans="1:7" ht="18" customHeight="1" x14ac:dyDescent="0.15">
      <c r="A4" s="7" t="s">
        <v>3</v>
      </c>
      <c r="B4" s="246"/>
      <c r="C4" s="243"/>
      <c r="D4" s="243"/>
      <c r="E4" s="244"/>
    </row>
    <row r="5" spans="1:7" ht="18" customHeight="1" x14ac:dyDescent="0.15">
      <c r="A5" s="7" t="s">
        <v>4</v>
      </c>
      <c r="B5" s="246" t="s">
        <v>121</v>
      </c>
      <c r="C5" s="243"/>
      <c r="D5" s="243"/>
      <c r="E5" s="244"/>
    </row>
    <row r="6" spans="1:7" ht="18" customHeight="1" x14ac:dyDescent="0.15">
      <c r="A6" s="7" t="s">
        <v>5</v>
      </c>
      <c r="B6" s="246" t="s">
        <v>121</v>
      </c>
      <c r="C6" s="243"/>
      <c r="D6" s="243"/>
      <c r="E6" s="244"/>
    </row>
    <row r="7" spans="1:7" ht="18" customHeight="1" x14ac:dyDescent="0.15">
      <c r="A7" s="7" t="s">
        <v>6</v>
      </c>
      <c r="B7" s="246" t="s">
        <v>122</v>
      </c>
      <c r="C7" s="243"/>
      <c r="D7" s="243"/>
      <c r="E7" s="244"/>
    </row>
    <row r="8" spans="1:7" ht="41" customHeight="1" x14ac:dyDescent="0.15">
      <c r="A8" s="7" t="s">
        <v>7</v>
      </c>
      <c r="B8" s="258">
        <v>46217</v>
      </c>
      <c r="C8" s="244"/>
      <c r="D8" s="7" t="s">
        <v>8</v>
      </c>
      <c r="E8" s="196">
        <v>46311</v>
      </c>
    </row>
    <row r="9" spans="1:7" ht="102" customHeight="1" x14ac:dyDescent="0.15">
      <c r="A9" s="7" t="s">
        <v>9</v>
      </c>
      <c r="B9" s="246" t="s">
        <v>123</v>
      </c>
      <c r="C9" s="243"/>
      <c r="D9" s="243"/>
      <c r="E9" s="244"/>
      <c r="G9" s="8" t="s">
        <v>10</v>
      </c>
    </row>
    <row r="10" spans="1:7" ht="42" customHeight="1" x14ac:dyDescent="0.15">
      <c r="A10" s="7" t="s">
        <v>11</v>
      </c>
      <c r="B10" s="259" t="s">
        <v>124</v>
      </c>
      <c r="C10" s="244"/>
      <c r="D10" s="7" t="s">
        <v>12</v>
      </c>
      <c r="E10" s="9" t="s">
        <v>125</v>
      </c>
    </row>
    <row r="11" spans="1:7" ht="18" customHeight="1" x14ac:dyDescent="0.15">
      <c r="A11" s="247" t="s">
        <v>13</v>
      </c>
      <c r="B11" s="260" t="s">
        <v>126</v>
      </c>
      <c r="C11" s="252"/>
      <c r="D11" s="247" t="s">
        <v>6</v>
      </c>
      <c r="E11" s="262" t="s">
        <v>122</v>
      </c>
    </row>
    <row r="12" spans="1:7" ht="24" customHeight="1" x14ac:dyDescent="0.15">
      <c r="A12" s="249"/>
      <c r="B12" s="261"/>
      <c r="C12" s="237"/>
      <c r="D12" s="249"/>
      <c r="E12" s="249"/>
    </row>
    <row r="13" spans="1:7" ht="18" customHeight="1" x14ac:dyDescent="0.15">
      <c r="A13" s="247" t="s">
        <v>14</v>
      </c>
      <c r="B13" s="250" t="s">
        <v>127</v>
      </c>
      <c r="C13" s="251"/>
      <c r="D13" s="251"/>
      <c r="E13" s="252"/>
    </row>
    <row r="14" spans="1:7" ht="18" customHeight="1" x14ac:dyDescent="0.15">
      <c r="A14" s="248"/>
      <c r="B14" s="253"/>
      <c r="C14" s="254"/>
      <c r="D14" s="254"/>
      <c r="E14" s="255"/>
    </row>
    <row r="15" spans="1:7" ht="32" customHeight="1" x14ac:dyDescent="0.15">
      <c r="A15" s="249"/>
      <c r="B15" s="256"/>
      <c r="C15" s="257"/>
      <c r="D15" s="257"/>
      <c r="E15" s="237"/>
    </row>
    <row r="16" spans="1:7" ht="18" customHeight="1" x14ac:dyDescent="0.15">
      <c r="A16" s="10"/>
      <c r="B16" s="10"/>
      <c r="C16" s="10"/>
      <c r="D16" s="10"/>
      <c r="E16" s="10"/>
    </row>
    <row r="17" spans="1:5" ht="18" customHeight="1" x14ac:dyDescent="0.15">
      <c r="A17" s="10"/>
      <c r="B17" s="10"/>
      <c r="C17" s="10"/>
      <c r="D17" s="10"/>
      <c r="E17" s="10"/>
    </row>
    <row r="18" spans="1:5" ht="18" customHeight="1" x14ac:dyDescent="0.15">
      <c r="A18" s="10"/>
      <c r="B18" s="10"/>
      <c r="C18" s="10"/>
      <c r="D18" s="10"/>
      <c r="E18" s="10"/>
    </row>
    <row r="19" spans="1:5" ht="18" customHeight="1" x14ac:dyDescent="0.15"/>
    <row r="20" spans="1:5" ht="18" customHeight="1" x14ac:dyDescent="0.15"/>
    <row r="21" spans="1:5" ht="18" customHeight="1" x14ac:dyDescent="0.15"/>
    <row r="22" spans="1:5" ht="18" customHeight="1" x14ac:dyDescent="0.15"/>
    <row r="23" spans="1:5" ht="18" customHeight="1" x14ac:dyDescent="0.15"/>
    <row r="24" spans="1:5" ht="18" customHeight="1" x14ac:dyDescent="0.15"/>
    <row r="25" spans="1:5" ht="18" customHeight="1" x14ac:dyDescent="0.15"/>
    <row r="26" spans="1:5" ht="18" customHeight="1" x14ac:dyDescent="0.15"/>
    <row r="27" spans="1:5" ht="18" customHeight="1" x14ac:dyDescent="0.15"/>
    <row r="28" spans="1:5" ht="18" customHeight="1" x14ac:dyDescent="0.15"/>
    <row r="29" spans="1:5" ht="18" customHeight="1" x14ac:dyDescent="0.15"/>
    <row r="30" spans="1:5" ht="18" customHeight="1" x14ac:dyDescent="0.15"/>
    <row r="31" spans="1:5" ht="18" customHeight="1" x14ac:dyDescent="0.15"/>
    <row r="32" spans="1:5" ht="18" customHeight="1" x14ac:dyDescent="0.15"/>
    <row r="33" ht="18" customHeight="1" x14ac:dyDescent="0.15"/>
    <row r="34" ht="18" customHeight="1" x14ac:dyDescent="0.15"/>
    <row r="35" ht="18" customHeight="1" x14ac:dyDescent="0.15"/>
    <row r="36" ht="18" customHeight="1" x14ac:dyDescent="0.15"/>
    <row r="37" ht="18" customHeight="1" x14ac:dyDescent="0.15"/>
    <row r="38" ht="18" customHeight="1" x14ac:dyDescent="0.15"/>
    <row r="39" ht="18" customHeight="1" x14ac:dyDescent="0.15"/>
    <row r="40" ht="18" customHeight="1" x14ac:dyDescent="0.15"/>
    <row r="41" ht="18" customHeight="1" x14ac:dyDescent="0.15"/>
    <row r="42" ht="18" customHeight="1" x14ac:dyDescent="0.15"/>
    <row r="43" ht="18" customHeight="1" x14ac:dyDescent="0.15"/>
    <row r="44" ht="18" customHeight="1" x14ac:dyDescent="0.15"/>
    <row r="45" ht="18" customHeight="1" x14ac:dyDescent="0.15"/>
    <row r="46" ht="18" customHeight="1" x14ac:dyDescent="0.15"/>
    <row r="47" ht="18" customHeight="1" x14ac:dyDescent="0.15"/>
    <row r="48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  <row r="549" ht="18" customHeight="1" x14ac:dyDescent="0.15"/>
    <row r="550" ht="18" customHeight="1" x14ac:dyDescent="0.15"/>
    <row r="551" ht="18" customHeight="1" x14ac:dyDescent="0.15"/>
    <row r="552" ht="18" customHeight="1" x14ac:dyDescent="0.15"/>
    <row r="553" ht="18" customHeight="1" x14ac:dyDescent="0.15"/>
    <row r="554" ht="18" customHeight="1" x14ac:dyDescent="0.15"/>
    <row r="555" ht="18" customHeight="1" x14ac:dyDescent="0.15"/>
    <row r="556" ht="18" customHeight="1" x14ac:dyDescent="0.15"/>
    <row r="557" ht="18" customHeight="1" x14ac:dyDescent="0.15"/>
    <row r="558" ht="18" customHeight="1" x14ac:dyDescent="0.15"/>
    <row r="559" ht="18" customHeight="1" x14ac:dyDescent="0.15"/>
    <row r="560" ht="18" customHeight="1" x14ac:dyDescent="0.15"/>
    <row r="561" ht="18" customHeight="1" x14ac:dyDescent="0.15"/>
    <row r="562" ht="18" customHeight="1" x14ac:dyDescent="0.15"/>
    <row r="563" ht="18" customHeight="1" x14ac:dyDescent="0.15"/>
    <row r="564" ht="18" customHeight="1" x14ac:dyDescent="0.15"/>
    <row r="565" ht="18" customHeight="1" x14ac:dyDescent="0.15"/>
    <row r="566" ht="18" customHeight="1" x14ac:dyDescent="0.15"/>
    <row r="567" ht="18" customHeight="1" x14ac:dyDescent="0.15"/>
    <row r="568" ht="18" customHeight="1" x14ac:dyDescent="0.15"/>
    <row r="569" ht="18" customHeight="1" x14ac:dyDescent="0.15"/>
    <row r="570" ht="18" customHeight="1" x14ac:dyDescent="0.15"/>
    <row r="571" ht="18" customHeight="1" x14ac:dyDescent="0.15"/>
    <row r="572" ht="18" customHeight="1" x14ac:dyDescent="0.15"/>
    <row r="573" ht="18" customHeight="1" x14ac:dyDescent="0.15"/>
    <row r="574" ht="18" customHeight="1" x14ac:dyDescent="0.15"/>
    <row r="575" ht="18" customHeight="1" x14ac:dyDescent="0.15"/>
    <row r="576" ht="18" customHeight="1" x14ac:dyDescent="0.15"/>
    <row r="577" ht="18" customHeight="1" x14ac:dyDescent="0.15"/>
    <row r="578" ht="18" customHeight="1" x14ac:dyDescent="0.15"/>
    <row r="579" ht="18" customHeight="1" x14ac:dyDescent="0.15"/>
    <row r="580" ht="18" customHeight="1" x14ac:dyDescent="0.15"/>
    <row r="581" ht="18" customHeight="1" x14ac:dyDescent="0.15"/>
    <row r="582" ht="18" customHeight="1" x14ac:dyDescent="0.15"/>
    <row r="583" ht="18" customHeight="1" x14ac:dyDescent="0.15"/>
    <row r="584" ht="18" customHeight="1" x14ac:dyDescent="0.15"/>
    <row r="585" ht="18" customHeight="1" x14ac:dyDescent="0.15"/>
    <row r="586" ht="18" customHeight="1" x14ac:dyDescent="0.15"/>
    <row r="587" ht="18" customHeight="1" x14ac:dyDescent="0.15"/>
    <row r="588" ht="18" customHeight="1" x14ac:dyDescent="0.15"/>
    <row r="589" ht="18" customHeight="1" x14ac:dyDescent="0.15"/>
    <row r="590" ht="18" customHeight="1" x14ac:dyDescent="0.15"/>
    <row r="591" ht="18" customHeight="1" x14ac:dyDescent="0.15"/>
    <row r="592" ht="18" customHeight="1" x14ac:dyDescent="0.15"/>
    <row r="593" ht="18" customHeight="1" x14ac:dyDescent="0.15"/>
    <row r="594" ht="18" customHeight="1" x14ac:dyDescent="0.15"/>
    <row r="595" ht="18" customHeight="1" x14ac:dyDescent="0.15"/>
    <row r="596" ht="18" customHeight="1" x14ac:dyDescent="0.15"/>
    <row r="597" ht="18" customHeight="1" x14ac:dyDescent="0.15"/>
    <row r="598" ht="18" customHeight="1" x14ac:dyDescent="0.15"/>
    <row r="599" ht="18" customHeight="1" x14ac:dyDescent="0.15"/>
    <row r="600" ht="18" customHeight="1" x14ac:dyDescent="0.15"/>
    <row r="601" ht="18" customHeight="1" x14ac:dyDescent="0.15"/>
    <row r="602" ht="18" customHeight="1" x14ac:dyDescent="0.15"/>
    <row r="603" ht="18" customHeight="1" x14ac:dyDescent="0.15"/>
    <row r="604" ht="18" customHeight="1" x14ac:dyDescent="0.15"/>
    <row r="605" ht="18" customHeight="1" x14ac:dyDescent="0.15"/>
    <row r="606" ht="18" customHeight="1" x14ac:dyDescent="0.15"/>
    <row r="607" ht="18" customHeight="1" x14ac:dyDescent="0.15"/>
    <row r="608" ht="18" customHeight="1" x14ac:dyDescent="0.15"/>
    <row r="609" ht="18" customHeight="1" x14ac:dyDescent="0.15"/>
    <row r="610" ht="18" customHeight="1" x14ac:dyDescent="0.15"/>
    <row r="611" ht="18" customHeight="1" x14ac:dyDescent="0.15"/>
    <row r="612" ht="18" customHeight="1" x14ac:dyDescent="0.15"/>
    <row r="613" ht="18" customHeight="1" x14ac:dyDescent="0.15"/>
    <row r="614" ht="18" customHeight="1" x14ac:dyDescent="0.15"/>
    <row r="615" ht="18" customHeight="1" x14ac:dyDescent="0.15"/>
    <row r="616" ht="18" customHeight="1" x14ac:dyDescent="0.15"/>
    <row r="617" ht="18" customHeight="1" x14ac:dyDescent="0.15"/>
    <row r="618" ht="18" customHeight="1" x14ac:dyDescent="0.15"/>
    <row r="619" ht="18" customHeight="1" x14ac:dyDescent="0.15"/>
    <row r="620" ht="18" customHeight="1" x14ac:dyDescent="0.15"/>
    <row r="621" ht="18" customHeight="1" x14ac:dyDescent="0.15"/>
    <row r="622" ht="18" customHeight="1" x14ac:dyDescent="0.15"/>
    <row r="623" ht="18" customHeight="1" x14ac:dyDescent="0.15"/>
    <row r="624" ht="18" customHeight="1" x14ac:dyDescent="0.15"/>
    <row r="625" ht="18" customHeight="1" x14ac:dyDescent="0.15"/>
    <row r="626" ht="18" customHeight="1" x14ac:dyDescent="0.15"/>
    <row r="627" ht="18" customHeight="1" x14ac:dyDescent="0.15"/>
    <row r="628" ht="18" customHeight="1" x14ac:dyDescent="0.15"/>
    <row r="629" ht="18" customHeight="1" x14ac:dyDescent="0.15"/>
    <row r="630" ht="18" customHeight="1" x14ac:dyDescent="0.15"/>
    <row r="631" ht="18" customHeight="1" x14ac:dyDescent="0.15"/>
    <row r="632" ht="18" customHeight="1" x14ac:dyDescent="0.15"/>
    <row r="633" ht="18" customHeight="1" x14ac:dyDescent="0.15"/>
    <row r="634" ht="18" customHeight="1" x14ac:dyDescent="0.15"/>
    <row r="635" ht="18" customHeight="1" x14ac:dyDescent="0.15"/>
    <row r="636" ht="18" customHeight="1" x14ac:dyDescent="0.15"/>
    <row r="637" ht="18" customHeight="1" x14ac:dyDescent="0.15"/>
    <row r="638" ht="18" customHeight="1" x14ac:dyDescent="0.15"/>
    <row r="639" ht="18" customHeight="1" x14ac:dyDescent="0.15"/>
    <row r="640" ht="18" customHeight="1" x14ac:dyDescent="0.15"/>
    <row r="641" ht="18" customHeight="1" x14ac:dyDescent="0.15"/>
    <row r="642" ht="18" customHeight="1" x14ac:dyDescent="0.15"/>
    <row r="643" ht="18" customHeight="1" x14ac:dyDescent="0.15"/>
    <row r="644" ht="18" customHeight="1" x14ac:dyDescent="0.15"/>
    <row r="645" ht="18" customHeight="1" x14ac:dyDescent="0.15"/>
    <row r="646" ht="18" customHeight="1" x14ac:dyDescent="0.15"/>
    <row r="647" ht="18" customHeight="1" x14ac:dyDescent="0.15"/>
    <row r="648" ht="18" customHeight="1" x14ac:dyDescent="0.15"/>
    <row r="649" ht="18" customHeight="1" x14ac:dyDescent="0.15"/>
    <row r="650" ht="18" customHeight="1" x14ac:dyDescent="0.15"/>
    <row r="651" ht="18" customHeight="1" x14ac:dyDescent="0.15"/>
    <row r="652" ht="18" customHeight="1" x14ac:dyDescent="0.15"/>
    <row r="653" ht="18" customHeight="1" x14ac:dyDescent="0.15"/>
    <row r="654" ht="18" customHeight="1" x14ac:dyDescent="0.15"/>
    <row r="655" ht="18" customHeight="1" x14ac:dyDescent="0.15"/>
    <row r="656" ht="18" customHeight="1" x14ac:dyDescent="0.15"/>
    <row r="657" ht="18" customHeight="1" x14ac:dyDescent="0.15"/>
    <row r="658" ht="18" customHeight="1" x14ac:dyDescent="0.15"/>
    <row r="659" ht="18" customHeight="1" x14ac:dyDescent="0.15"/>
    <row r="660" ht="18" customHeight="1" x14ac:dyDescent="0.15"/>
    <row r="661" ht="18" customHeight="1" x14ac:dyDescent="0.15"/>
    <row r="662" ht="18" customHeight="1" x14ac:dyDescent="0.15"/>
    <row r="663" ht="18" customHeight="1" x14ac:dyDescent="0.15"/>
    <row r="664" ht="18" customHeight="1" x14ac:dyDescent="0.15"/>
    <row r="665" ht="18" customHeight="1" x14ac:dyDescent="0.15"/>
    <row r="666" ht="18" customHeight="1" x14ac:dyDescent="0.15"/>
    <row r="667" ht="18" customHeight="1" x14ac:dyDescent="0.15"/>
    <row r="668" ht="18" customHeight="1" x14ac:dyDescent="0.15"/>
    <row r="669" ht="18" customHeight="1" x14ac:dyDescent="0.15"/>
    <row r="670" ht="18" customHeight="1" x14ac:dyDescent="0.15"/>
    <row r="671" ht="18" customHeight="1" x14ac:dyDescent="0.15"/>
    <row r="672" ht="18" customHeight="1" x14ac:dyDescent="0.15"/>
    <row r="673" ht="18" customHeight="1" x14ac:dyDescent="0.15"/>
    <row r="674" ht="18" customHeight="1" x14ac:dyDescent="0.15"/>
    <row r="675" ht="18" customHeight="1" x14ac:dyDescent="0.15"/>
    <row r="676" ht="18" customHeight="1" x14ac:dyDescent="0.15"/>
    <row r="677" ht="18" customHeight="1" x14ac:dyDescent="0.15"/>
    <row r="678" ht="18" customHeight="1" x14ac:dyDescent="0.15"/>
    <row r="679" ht="18" customHeight="1" x14ac:dyDescent="0.15"/>
    <row r="680" ht="18" customHeight="1" x14ac:dyDescent="0.15"/>
    <row r="681" ht="18" customHeight="1" x14ac:dyDescent="0.15"/>
    <row r="682" ht="18" customHeight="1" x14ac:dyDescent="0.15"/>
    <row r="683" ht="18" customHeight="1" x14ac:dyDescent="0.15"/>
    <row r="684" ht="18" customHeight="1" x14ac:dyDescent="0.15"/>
    <row r="685" ht="18" customHeight="1" x14ac:dyDescent="0.15"/>
    <row r="686" ht="18" customHeight="1" x14ac:dyDescent="0.15"/>
    <row r="687" ht="18" customHeight="1" x14ac:dyDescent="0.15"/>
    <row r="688" ht="18" customHeight="1" x14ac:dyDescent="0.15"/>
    <row r="689" ht="18" customHeight="1" x14ac:dyDescent="0.15"/>
    <row r="690" ht="18" customHeight="1" x14ac:dyDescent="0.15"/>
    <row r="691" ht="18" customHeight="1" x14ac:dyDescent="0.15"/>
    <row r="692" ht="18" customHeight="1" x14ac:dyDescent="0.15"/>
    <row r="693" ht="18" customHeight="1" x14ac:dyDescent="0.15"/>
    <row r="694" ht="18" customHeight="1" x14ac:dyDescent="0.15"/>
    <row r="695" ht="18" customHeight="1" x14ac:dyDescent="0.15"/>
    <row r="696" ht="18" customHeight="1" x14ac:dyDescent="0.15"/>
    <row r="697" ht="18" customHeight="1" x14ac:dyDescent="0.15"/>
    <row r="698" ht="18" customHeight="1" x14ac:dyDescent="0.15"/>
    <row r="699" ht="18" customHeight="1" x14ac:dyDescent="0.15"/>
    <row r="700" ht="18" customHeight="1" x14ac:dyDescent="0.15"/>
    <row r="701" ht="18" customHeight="1" x14ac:dyDescent="0.15"/>
    <row r="702" ht="18" customHeight="1" x14ac:dyDescent="0.15"/>
    <row r="703" ht="18" customHeight="1" x14ac:dyDescent="0.15"/>
    <row r="704" ht="18" customHeight="1" x14ac:dyDescent="0.15"/>
    <row r="705" ht="18" customHeight="1" x14ac:dyDescent="0.15"/>
    <row r="706" ht="18" customHeight="1" x14ac:dyDescent="0.15"/>
    <row r="707" ht="18" customHeight="1" x14ac:dyDescent="0.15"/>
    <row r="708" ht="18" customHeight="1" x14ac:dyDescent="0.15"/>
    <row r="709" ht="18" customHeight="1" x14ac:dyDescent="0.15"/>
    <row r="710" ht="18" customHeight="1" x14ac:dyDescent="0.15"/>
    <row r="711" ht="18" customHeight="1" x14ac:dyDescent="0.15"/>
    <row r="712" ht="18" customHeight="1" x14ac:dyDescent="0.15"/>
    <row r="713" ht="18" customHeight="1" x14ac:dyDescent="0.15"/>
    <row r="714" ht="18" customHeight="1" x14ac:dyDescent="0.15"/>
    <row r="715" ht="18" customHeight="1" x14ac:dyDescent="0.15"/>
    <row r="716" ht="18" customHeight="1" x14ac:dyDescent="0.15"/>
    <row r="717" ht="18" customHeight="1" x14ac:dyDescent="0.15"/>
    <row r="718" ht="18" customHeight="1" x14ac:dyDescent="0.15"/>
    <row r="719" ht="18" customHeight="1" x14ac:dyDescent="0.15"/>
    <row r="720" ht="18" customHeight="1" x14ac:dyDescent="0.15"/>
    <row r="721" ht="18" customHeight="1" x14ac:dyDescent="0.15"/>
    <row r="722" ht="18" customHeight="1" x14ac:dyDescent="0.15"/>
    <row r="723" ht="18" customHeight="1" x14ac:dyDescent="0.15"/>
    <row r="724" ht="18" customHeight="1" x14ac:dyDescent="0.15"/>
    <row r="725" ht="18" customHeight="1" x14ac:dyDescent="0.15"/>
    <row r="726" ht="18" customHeight="1" x14ac:dyDescent="0.15"/>
    <row r="727" ht="18" customHeight="1" x14ac:dyDescent="0.15"/>
    <row r="728" ht="18" customHeight="1" x14ac:dyDescent="0.15"/>
    <row r="729" ht="18" customHeight="1" x14ac:dyDescent="0.15"/>
    <row r="730" ht="18" customHeight="1" x14ac:dyDescent="0.15"/>
    <row r="731" ht="18" customHeight="1" x14ac:dyDescent="0.15"/>
    <row r="732" ht="18" customHeight="1" x14ac:dyDescent="0.15"/>
    <row r="733" ht="18" customHeight="1" x14ac:dyDescent="0.15"/>
    <row r="734" ht="18" customHeight="1" x14ac:dyDescent="0.15"/>
    <row r="735" ht="18" customHeight="1" x14ac:dyDescent="0.15"/>
    <row r="736" ht="18" customHeight="1" x14ac:dyDescent="0.15"/>
    <row r="737" ht="18" customHeight="1" x14ac:dyDescent="0.15"/>
    <row r="738" ht="18" customHeight="1" x14ac:dyDescent="0.15"/>
    <row r="739" ht="18" customHeight="1" x14ac:dyDescent="0.15"/>
    <row r="740" ht="18" customHeight="1" x14ac:dyDescent="0.15"/>
    <row r="741" ht="18" customHeight="1" x14ac:dyDescent="0.15"/>
    <row r="742" ht="18" customHeight="1" x14ac:dyDescent="0.15"/>
    <row r="743" ht="18" customHeight="1" x14ac:dyDescent="0.15"/>
    <row r="744" ht="18" customHeight="1" x14ac:dyDescent="0.15"/>
    <row r="745" ht="18" customHeight="1" x14ac:dyDescent="0.15"/>
    <row r="746" ht="18" customHeight="1" x14ac:dyDescent="0.15"/>
    <row r="747" ht="18" customHeight="1" x14ac:dyDescent="0.15"/>
    <row r="748" ht="18" customHeight="1" x14ac:dyDescent="0.15"/>
    <row r="749" ht="18" customHeight="1" x14ac:dyDescent="0.15"/>
    <row r="750" ht="18" customHeight="1" x14ac:dyDescent="0.15"/>
    <row r="751" ht="18" customHeight="1" x14ac:dyDescent="0.15"/>
    <row r="752" ht="18" customHeight="1" x14ac:dyDescent="0.15"/>
    <row r="753" ht="18" customHeight="1" x14ac:dyDescent="0.15"/>
    <row r="754" ht="18" customHeight="1" x14ac:dyDescent="0.15"/>
    <row r="755" ht="18" customHeight="1" x14ac:dyDescent="0.15"/>
    <row r="756" ht="18" customHeight="1" x14ac:dyDescent="0.15"/>
    <row r="757" ht="18" customHeight="1" x14ac:dyDescent="0.15"/>
    <row r="758" ht="18" customHeight="1" x14ac:dyDescent="0.15"/>
    <row r="759" ht="18" customHeight="1" x14ac:dyDescent="0.15"/>
    <row r="760" ht="18" customHeight="1" x14ac:dyDescent="0.15"/>
    <row r="761" ht="18" customHeight="1" x14ac:dyDescent="0.15"/>
    <row r="762" ht="18" customHeight="1" x14ac:dyDescent="0.15"/>
    <row r="763" ht="18" customHeight="1" x14ac:dyDescent="0.15"/>
    <row r="764" ht="18" customHeight="1" x14ac:dyDescent="0.15"/>
    <row r="765" ht="18" customHeight="1" x14ac:dyDescent="0.15"/>
    <row r="766" ht="18" customHeight="1" x14ac:dyDescent="0.15"/>
    <row r="767" ht="18" customHeight="1" x14ac:dyDescent="0.15"/>
    <row r="768" ht="18" customHeight="1" x14ac:dyDescent="0.15"/>
    <row r="769" ht="18" customHeight="1" x14ac:dyDescent="0.15"/>
    <row r="770" ht="18" customHeight="1" x14ac:dyDescent="0.15"/>
    <row r="771" ht="18" customHeight="1" x14ac:dyDescent="0.15"/>
    <row r="772" ht="18" customHeight="1" x14ac:dyDescent="0.15"/>
    <row r="773" ht="18" customHeight="1" x14ac:dyDescent="0.15"/>
    <row r="774" ht="18" customHeight="1" x14ac:dyDescent="0.15"/>
    <row r="775" ht="18" customHeight="1" x14ac:dyDescent="0.15"/>
    <row r="776" ht="18" customHeight="1" x14ac:dyDescent="0.15"/>
    <row r="777" ht="18" customHeight="1" x14ac:dyDescent="0.15"/>
    <row r="778" ht="18" customHeight="1" x14ac:dyDescent="0.15"/>
    <row r="779" ht="18" customHeight="1" x14ac:dyDescent="0.15"/>
    <row r="780" ht="18" customHeight="1" x14ac:dyDescent="0.15"/>
    <row r="781" ht="18" customHeight="1" x14ac:dyDescent="0.15"/>
    <row r="782" ht="18" customHeight="1" x14ac:dyDescent="0.15"/>
    <row r="783" ht="18" customHeight="1" x14ac:dyDescent="0.15"/>
    <row r="784" ht="18" customHeight="1" x14ac:dyDescent="0.15"/>
    <row r="785" ht="18" customHeight="1" x14ac:dyDescent="0.15"/>
    <row r="786" ht="18" customHeight="1" x14ac:dyDescent="0.15"/>
    <row r="787" ht="18" customHeight="1" x14ac:dyDescent="0.15"/>
    <row r="788" ht="18" customHeight="1" x14ac:dyDescent="0.15"/>
    <row r="789" ht="18" customHeight="1" x14ac:dyDescent="0.15"/>
    <row r="790" ht="18" customHeight="1" x14ac:dyDescent="0.15"/>
    <row r="791" ht="18" customHeight="1" x14ac:dyDescent="0.15"/>
    <row r="792" ht="18" customHeight="1" x14ac:dyDescent="0.15"/>
    <row r="793" ht="18" customHeight="1" x14ac:dyDescent="0.15"/>
    <row r="794" ht="18" customHeight="1" x14ac:dyDescent="0.15"/>
    <row r="795" ht="18" customHeight="1" x14ac:dyDescent="0.15"/>
    <row r="796" ht="18" customHeight="1" x14ac:dyDescent="0.15"/>
    <row r="797" ht="18" customHeight="1" x14ac:dyDescent="0.15"/>
    <row r="798" ht="18" customHeight="1" x14ac:dyDescent="0.15"/>
    <row r="799" ht="18" customHeight="1" x14ac:dyDescent="0.15"/>
    <row r="800" ht="18" customHeight="1" x14ac:dyDescent="0.15"/>
    <row r="801" ht="18" customHeight="1" x14ac:dyDescent="0.15"/>
    <row r="802" ht="18" customHeight="1" x14ac:dyDescent="0.15"/>
    <row r="803" ht="18" customHeight="1" x14ac:dyDescent="0.15"/>
    <row r="804" ht="18" customHeight="1" x14ac:dyDescent="0.15"/>
    <row r="805" ht="18" customHeight="1" x14ac:dyDescent="0.15"/>
    <row r="806" ht="18" customHeight="1" x14ac:dyDescent="0.15"/>
    <row r="807" ht="18" customHeight="1" x14ac:dyDescent="0.15"/>
    <row r="808" ht="18" customHeight="1" x14ac:dyDescent="0.15"/>
    <row r="809" ht="18" customHeight="1" x14ac:dyDescent="0.15"/>
    <row r="810" ht="18" customHeight="1" x14ac:dyDescent="0.15"/>
    <row r="811" ht="18" customHeight="1" x14ac:dyDescent="0.15"/>
    <row r="812" ht="18" customHeight="1" x14ac:dyDescent="0.15"/>
    <row r="813" ht="18" customHeight="1" x14ac:dyDescent="0.15"/>
    <row r="814" ht="18" customHeight="1" x14ac:dyDescent="0.15"/>
    <row r="815" ht="18" customHeight="1" x14ac:dyDescent="0.15"/>
    <row r="816" ht="18" customHeight="1" x14ac:dyDescent="0.15"/>
    <row r="817" ht="18" customHeight="1" x14ac:dyDescent="0.15"/>
    <row r="818" ht="18" customHeight="1" x14ac:dyDescent="0.15"/>
    <row r="819" ht="18" customHeight="1" x14ac:dyDescent="0.15"/>
    <row r="820" ht="18" customHeight="1" x14ac:dyDescent="0.15"/>
    <row r="821" ht="18" customHeight="1" x14ac:dyDescent="0.15"/>
    <row r="822" ht="18" customHeight="1" x14ac:dyDescent="0.15"/>
    <row r="823" ht="18" customHeight="1" x14ac:dyDescent="0.15"/>
    <row r="824" ht="18" customHeight="1" x14ac:dyDescent="0.15"/>
    <row r="825" ht="18" customHeight="1" x14ac:dyDescent="0.15"/>
    <row r="826" ht="18" customHeight="1" x14ac:dyDescent="0.15"/>
    <row r="827" ht="18" customHeight="1" x14ac:dyDescent="0.15"/>
    <row r="828" ht="18" customHeight="1" x14ac:dyDescent="0.15"/>
    <row r="829" ht="18" customHeight="1" x14ac:dyDescent="0.15"/>
    <row r="830" ht="18" customHeight="1" x14ac:dyDescent="0.15"/>
    <row r="831" ht="18" customHeight="1" x14ac:dyDescent="0.15"/>
    <row r="832" ht="18" customHeight="1" x14ac:dyDescent="0.15"/>
    <row r="833" ht="18" customHeight="1" x14ac:dyDescent="0.15"/>
    <row r="834" ht="18" customHeight="1" x14ac:dyDescent="0.15"/>
    <row r="835" ht="18" customHeight="1" x14ac:dyDescent="0.15"/>
    <row r="836" ht="18" customHeight="1" x14ac:dyDescent="0.15"/>
    <row r="837" ht="18" customHeight="1" x14ac:dyDescent="0.15"/>
    <row r="838" ht="18" customHeight="1" x14ac:dyDescent="0.15"/>
    <row r="839" ht="18" customHeight="1" x14ac:dyDescent="0.15"/>
    <row r="840" ht="18" customHeight="1" x14ac:dyDescent="0.15"/>
    <row r="841" ht="18" customHeight="1" x14ac:dyDescent="0.15"/>
    <row r="842" ht="18" customHeight="1" x14ac:dyDescent="0.15"/>
    <row r="843" ht="18" customHeight="1" x14ac:dyDescent="0.15"/>
    <row r="844" ht="18" customHeight="1" x14ac:dyDescent="0.15"/>
    <row r="845" ht="18" customHeight="1" x14ac:dyDescent="0.15"/>
    <row r="846" ht="18" customHeight="1" x14ac:dyDescent="0.15"/>
    <row r="847" ht="18" customHeight="1" x14ac:dyDescent="0.15"/>
    <row r="848" ht="18" customHeight="1" x14ac:dyDescent="0.15"/>
    <row r="849" ht="18" customHeight="1" x14ac:dyDescent="0.15"/>
    <row r="850" ht="18" customHeight="1" x14ac:dyDescent="0.15"/>
    <row r="851" ht="18" customHeight="1" x14ac:dyDescent="0.15"/>
    <row r="852" ht="18" customHeight="1" x14ac:dyDescent="0.15"/>
    <row r="853" ht="18" customHeight="1" x14ac:dyDescent="0.15"/>
    <row r="854" ht="18" customHeight="1" x14ac:dyDescent="0.15"/>
    <row r="855" ht="18" customHeight="1" x14ac:dyDescent="0.15"/>
    <row r="856" ht="18" customHeight="1" x14ac:dyDescent="0.15"/>
    <row r="857" ht="18" customHeight="1" x14ac:dyDescent="0.15"/>
    <row r="858" ht="18" customHeight="1" x14ac:dyDescent="0.15"/>
    <row r="859" ht="18" customHeight="1" x14ac:dyDescent="0.15"/>
    <row r="860" ht="18" customHeight="1" x14ac:dyDescent="0.15"/>
    <row r="861" ht="18" customHeight="1" x14ac:dyDescent="0.15"/>
    <row r="862" ht="18" customHeight="1" x14ac:dyDescent="0.15"/>
    <row r="863" ht="18" customHeight="1" x14ac:dyDescent="0.15"/>
    <row r="864" ht="18" customHeight="1" x14ac:dyDescent="0.15"/>
    <row r="865" ht="18" customHeight="1" x14ac:dyDescent="0.15"/>
    <row r="866" ht="18" customHeight="1" x14ac:dyDescent="0.15"/>
    <row r="867" ht="18" customHeight="1" x14ac:dyDescent="0.15"/>
    <row r="868" ht="18" customHeight="1" x14ac:dyDescent="0.15"/>
    <row r="869" ht="18" customHeight="1" x14ac:dyDescent="0.15"/>
    <row r="870" ht="18" customHeight="1" x14ac:dyDescent="0.15"/>
    <row r="871" ht="18" customHeight="1" x14ac:dyDescent="0.15"/>
    <row r="872" ht="18" customHeight="1" x14ac:dyDescent="0.15"/>
    <row r="873" ht="18" customHeight="1" x14ac:dyDescent="0.15"/>
    <row r="874" ht="18" customHeight="1" x14ac:dyDescent="0.15"/>
    <row r="875" ht="18" customHeight="1" x14ac:dyDescent="0.15"/>
    <row r="876" ht="18" customHeight="1" x14ac:dyDescent="0.15"/>
    <row r="877" ht="18" customHeight="1" x14ac:dyDescent="0.15"/>
    <row r="878" ht="18" customHeight="1" x14ac:dyDescent="0.15"/>
    <row r="879" ht="18" customHeight="1" x14ac:dyDescent="0.15"/>
    <row r="880" ht="18" customHeight="1" x14ac:dyDescent="0.15"/>
    <row r="881" ht="18" customHeight="1" x14ac:dyDescent="0.15"/>
    <row r="882" ht="18" customHeight="1" x14ac:dyDescent="0.15"/>
    <row r="883" ht="18" customHeight="1" x14ac:dyDescent="0.15"/>
    <row r="884" ht="18" customHeight="1" x14ac:dyDescent="0.15"/>
    <row r="885" ht="18" customHeight="1" x14ac:dyDescent="0.15"/>
    <row r="886" ht="18" customHeight="1" x14ac:dyDescent="0.15"/>
    <row r="887" ht="18" customHeight="1" x14ac:dyDescent="0.15"/>
    <row r="888" ht="18" customHeight="1" x14ac:dyDescent="0.15"/>
    <row r="889" ht="18" customHeight="1" x14ac:dyDescent="0.15"/>
    <row r="890" ht="18" customHeight="1" x14ac:dyDescent="0.15"/>
    <row r="891" ht="18" customHeight="1" x14ac:dyDescent="0.15"/>
    <row r="892" ht="18" customHeight="1" x14ac:dyDescent="0.15"/>
    <row r="893" ht="18" customHeight="1" x14ac:dyDescent="0.15"/>
    <row r="894" ht="18" customHeight="1" x14ac:dyDescent="0.15"/>
    <row r="895" ht="18" customHeight="1" x14ac:dyDescent="0.15"/>
    <row r="896" ht="18" customHeight="1" x14ac:dyDescent="0.15"/>
    <row r="897" ht="18" customHeight="1" x14ac:dyDescent="0.15"/>
    <row r="898" ht="18" customHeight="1" x14ac:dyDescent="0.15"/>
    <row r="899" ht="18" customHeight="1" x14ac:dyDescent="0.15"/>
    <row r="900" ht="18" customHeight="1" x14ac:dyDescent="0.15"/>
    <row r="901" ht="18" customHeight="1" x14ac:dyDescent="0.15"/>
    <row r="902" ht="18" customHeight="1" x14ac:dyDescent="0.15"/>
    <row r="903" ht="18" customHeight="1" x14ac:dyDescent="0.15"/>
    <row r="904" ht="18" customHeight="1" x14ac:dyDescent="0.15"/>
    <row r="905" ht="18" customHeight="1" x14ac:dyDescent="0.15"/>
    <row r="906" ht="18" customHeight="1" x14ac:dyDescent="0.15"/>
    <row r="907" ht="18" customHeight="1" x14ac:dyDescent="0.15"/>
    <row r="908" ht="18" customHeight="1" x14ac:dyDescent="0.15"/>
    <row r="909" ht="18" customHeight="1" x14ac:dyDescent="0.15"/>
    <row r="910" ht="18" customHeight="1" x14ac:dyDescent="0.15"/>
    <row r="911" ht="18" customHeight="1" x14ac:dyDescent="0.15"/>
    <row r="912" ht="18" customHeight="1" x14ac:dyDescent="0.15"/>
    <row r="913" ht="18" customHeight="1" x14ac:dyDescent="0.15"/>
    <row r="914" ht="18" customHeight="1" x14ac:dyDescent="0.15"/>
    <row r="915" ht="18" customHeight="1" x14ac:dyDescent="0.15"/>
    <row r="916" ht="18" customHeight="1" x14ac:dyDescent="0.15"/>
    <row r="917" ht="18" customHeight="1" x14ac:dyDescent="0.15"/>
    <row r="918" ht="18" customHeight="1" x14ac:dyDescent="0.15"/>
    <row r="919" ht="18" customHeight="1" x14ac:dyDescent="0.15"/>
    <row r="920" ht="18" customHeight="1" x14ac:dyDescent="0.15"/>
    <row r="921" ht="18" customHeight="1" x14ac:dyDescent="0.15"/>
    <row r="922" ht="18" customHeight="1" x14ac:dyDescent="0.15"/>
    <row r="923" ht="18" customHeight="1" x14ac:dyDescent="0.15"/>
    <row r="924" ht="18" customHeight="1" x14ac:dyDescent="0.15"/>
    <row r="925" ht="18" customHeight="1" x14ac:dyDescent="0.15"/>
    <row r="926" ht="18" customHeight="1" x14ac:dyDescent="0.15"/>
    <row r="927" ht="18" customHeight="1" x14ac:dyDescent="0.15"/>
    <row r="928" ht="18" customHeight="1" x14ac:dyDescent="0.15"/>
    <row r="929" ht="18" customHeight="1" x14ac:dyDescent="0.15"/>
    <row r="930" ht="18" customHeight="1" x14ac:dyDescent="0.15"/>
    <row r="931" ht="18" customHeight="1" x14ac:dyDescent="0.15"/>
    <row r="932" ht="18" customHeight="1" x14ac:dyDescent="0.15"/>
    <row r="933" ht="18" customHeight="1" x14ac:dyDescent="0.15"/>
    <row r="934" ht="18" customHeight="1" x14ac:dyDescent="0.15"/>
    <row r="935" ht="18" customHeight="1" x14ac:dyDescent="0.15"/>
    <row r="936" ht="18" customHeight="1" x14ac:dyDescent="0.15"/>
    <row r="937" ht="18" customHeight="1" x14ac:dyDescent="0.15"/>
    <row r="938" ht="18" customHeight="1" x14ac:dyDescent="0.15"/>
    <row r="939" ht="18" customHeight="1" x14ac:dyDescent="0.15"/>
    <row r="940" ht="18" customHeight="1" x14ac:dyDescent="0.15"/>
    <row r="941" ht="18" customHeight="1" x14ac:dyDescent="0.15"/>
    <row r="942" ht="18" customHeight="1" x14ac:dyDescent="0.15"/>
    <row r="943" ht="18" customHeight="1" x14ac:dyDescent="0.15"/>
    <row r="944" ht="18" customHeight="1" x14ac:dyDescent="0.15"/>
    <row r="945" ht="18" customHeight="1" x14ac:dyDescent="0.15"/>
    <row r="946" ht="18" customHeight="1" x14ac:dyDescent="0.15"/>
    <row r="947" ht="18" customHeight="1" x14ac:dyDescent="0.15"/>
    <row r="948" ht="18" customHeight="1" x14ac:dyDescent="0.15"/>
    <row r="949" ht="18" customHeight="1" x14ac:dyDescent="0.15"/>
    <row r="950" ht="18" customHeight="1" x14ac:dyDescent="0.15"/>
    <row r="951" ht="18" customHeight="1" x14ac:dyDescent="0.15"/>
    <row r="952" ht="18" customHeight="1" x14ac:dyDescent="0.15"/>
    <row r="953" ht="18" customHeight="1" x14ac:dyDescent="0.15"/>
    <row r="954" ht="18" customHeight="1" x14ac:dyDescent="0.15"/>
    <row r="955" ht="18" customHeight="1" x14ac:dyDescent="0.15"/>
    <row r="956" ht="18" customHeight="1" x14ac:dyDescent="0.15"/>
    <row r="957" ht="18" customHeight="1" x14ac:dyDescent="0.15"/>
    <row r="958" ht="18" customHeight="1" x14ac:dyDescent="0.15"/>
    <row r="959" ht="18" customHeight="1" x14ac:dyDescent="0.15"/>
    <row r="960" ht="18" customHeight="1" x14ac:dyDescent="0.15"/>
    <row r="961" ht="18" customHeight="1" x14ac:dyDescent="0.15"/>
    <row r="962" ht="18" customHeight="1" x14ac:dyDescent="0.15"/>
    <row r="963" ht="18" customHeight="1" x14ac:dyDescent="0.15"/>
    <row r="964" ht="18" customHeight="1" x14ac:dyDescent="0.15"/>
    <row r="965" ht="18" customHeight="1" x14ac:dyDescent="0.15"/>
    <row r="966" ht="18" customHeight="1" x14ac:dyDescent="0.15"/>
    <row r="967" ht="18" customHeight="1" x14ac:dyDescent="0.15"/>
    <row r="968" ht="18" customHeight="1" x14ac:dyDescent="0.15"/>
    <row r="969" ht="18" customHeight="1" x14ac:dyDescent="0.15"/>
    <row r="970" ht="18" customHeight="1" x14ac:dyDescent="0.15"/>
    <row r="971" ht="18" customHeight="1" x14ac:dyDescent="0.15"/>
    <row r="972" ht="18" customHeight="1" x14ac:dyDescent="0.15"/>
    <row r="973" ht="18" customHeight="1" x14ac:dyDescent="0.15"/>
    <row r="974" ht="18" customHeight="1" x14ac:dyDescent="0.15"/>
    <row r="975" ht="18" customHeight="1" x14ac:dyDescent="0.15"/>
    <row r="976" ht="18" customHeight="1" x14ac:dyDescent="0.15"/>
    <row r="977" ht="18" customHeight="1" x14ac:dyDescent="0.15"/>
    <row r="978" ht="18" customHeight="1" x14ac:dyDescent="0.15"/>
    <row r="979" ht="18" customHeight="1" x14ac:dyDescent="0.15"/>
    <row r="980" ht="18" customHeight="1" x14ac:dyDescent="0.15"/>
    <row r="981" ht="18" customHeight="1" x14ac:dyDescent="0.15"/>
    <row r="982" ht="18" customHeight="1" x14ac:dyDescent="0.15"/>
    <row r="983" ht="18" customHeight="1" x14ac:dyDescent="0.15"/>
    <row r="984" ht="18" customHeight="1" x14ac:dyDescent="0.15"/>
    <row r="985" ht="18" customHeight="1" x14ac:dyDescent="0.15"/>
    <row r="986" ht="18" customHeight="1" x14ac:dyDescent="0.15"/>
    <row r="987" ht="18" customHeight="1" x14ac:dyDescent="0.15"/>
    <row r="988" ht="18" customHeight="1" x14ac:dyDescent="0.15"/>
    <row r="989" ht="18" customHeight="1" x14ac:dyDescent="0.15"/>
    <row r="990" ht="18" customHeight="1" x14ac:dyDescent="0.15"/>
    <row r="991" ht="18" customHeight="1" x14ac:dyDescent="0.15"/>
    <row r="992" ht="18" customHeight="1" x14ac:dyDescent="0.15"/>
    <row r="993" ht="18" customHeight="1" x14ac:dyDescent="0.15"/>
    <row r="994" ht="18" customHeight="1" x14ac:dyDescent="0.15"/>
    <row r="995" ht="18" customHeight="1" x14ac:dyDescent="0.15"/>
    <row r="996" ht="18" customHeight="1" x14ac:dyDescent="0.15"/>
    <row r="997" ht="18" customHeight="1" x14ac:dyDescent="0.15"/>
    <row r="998" ht="18" customHeight="1" x14ac:dyDescent="0.15"/>
    <row r="999" ht="18" customHeight="1" x14ac:dyDescent="0.15"/>
    <row r="1000" ht="18" customHeight="1" x14ac:dyDescent="0.15"/>
  </sheetData>
  <mergeCells count="16">
    <mergeCell ref="B6:E6"/>
    <mergeCell ref="B7:E7"/>
    <mergeCell ref="A13:A15"/>
    <mergeCell ref="B13:E15"/>
    <mergeCell ref="B8:C8"/>
    <mergeCell ref="B9:E9"/>
    <mergeCell ref="B10:C10"/>
    <mergeCell ref="A11:A12"/>
    <mergeCell ref="B11:C12"/>
    <mergeCell ref="D11:D12"/>
    <mergeCell ref="E11:E12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000"/>
  <sheetViews>
    <sheetView topLeftCell="A5" workbookViewId="0"/>
  </sheetViews>
  <sheetFormatPr baseColWidth="10" defaultColWidth="12.6640625" defaultRowHeight="14" x14ac:dyDescent="0.15"/>
  <cols>
    <col min="1" max="1" width="14.83203125" customWidth="1"/>
    <col min="2" max="2" width="48.1640625" customWidth="1"/>
    <col min="3" max="3" width="4.1640625" hidden="1" customWidth="1"/>
    <col min="4" max="4" width="10.33203125" customWidth="1"/>
    <col min="5" max="5" width="7.5" hidden="1" customWidth="1"/>
    <col min="6" max="6" width="8.1640625" hidden="1" customWidth="1"/>
    <col min="7" max="7" width="8.83203125" hidden="1" customWidth="1"/>
    <col min="8" max="39" width="3.1640625" customWidth="1"/>
    <col min="40" max="40" width="9" customWidth="1"/>
    <col min="41" max="41" width="10.33203125" customWidth="1"/>
  </cols>
  <sheetData>
    <row r="1" spans="1:41" ht="15" x14ac:dyDescent="0.2">
      <c r="A1" s="11"/>
      <c r="B1" s="11"/>
      <c r="C1" s="11"/>
      <c r="D1" s="11"/>
      <c r="E1" s="11"/>
      <c r="F1" s="11"/>
      <c r="G1" s="1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3" t="s">
        <v>15</v>
      </c>
    </row>
    <row r="2" spans="1:41" ht="21" x14ac:dyDescent="0.25">
      <c r="A2" s="270" t="s">
        <v>16</v>
      </c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1"/>
      <c r="AO2" s="13" t="s">
        <v>17</v>
      </c>
    </row>
    <row r="3" spans="1:41" ht="15" x14ac:dyDescent="0.2">
      <c r="A3" s="11"/>
      <c r="B3" s="11"/>
      <c r="C3" s="11"/>
      <c r="D3" s="11"/>
      <c r="E3" s="11"/>
      <c r="F3" s="11"/>
      <c r="G3" s="12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3" t="s">
        <v>18</v>
      </c>
    </row>
    <row r="4" spans="1:41" ht="25" customHeight="1" x14ac:dyDescent="0.2">
      <c r="A4" s="271" t="s">
        <v>128</v>
      </c>
      <c r="B4" s="251"/>
      <c r="C4" s="251"/>
      <c r="D4" s="251"/>
      <c r="E4" s="251"/>
      <c r="F4" s="251"/>
      <c r="G4" s="252"/>
      <c r="H4" s="272">
        <v>2026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1"/>
      <c r="X4" s="251"/>
      <c r="Y4" s="251"/>
      <c r="Z4" s="251"/>
      <c r="AA4" s="251"/>
      <c r="AB4" s="251"/>
      <c r="AC4" s="251"/>
      <c r="AD4" s="251"/>
      <c r="AE4" s="252"/>
      <c r="AF4" s="272">
        <v>2027</v>
      </c>
      <c r="AG4" s="251"/>
      <c r="AH4" s="251"/>
      <c r="AI4" s="251"/>
      <c r="AJ4" s="251"/>
      <c r="AK4" s="251"/>
      <c r="AL4" s="251"/>
      <c r="AM4" s="252"/>
      <c r="AN4" s="11"/>
      <c r="AO4" s="11"/>
    </row>
    <row r="5" spans="1:41" ht="25" customHeight="1" x14ac:dyDescent="0.2">
      <c r="A5" s="256"/>
      <c r="B5" s="257"/>
      <c r="C5" s="257"/>
      <c r="D5" s="257"/>
      <c r="E5" s="257"/>
      <c r="F5" s="257"/>
      <c r="G5" s="237"/>
      <c r="H5" s="256"/>
      <c r="I5" s="257"/>
      <c r="J5" s="257"/>
      <c r="K5" s="257"/>
      <c r="L5" s="257"/>
      <c r="M5" s="257"/>
      <c r="N5" s="257"/>
      <c r="O5" s="257"/>
      <c r="P5" s="257"/>
      <c r="Q5" s="257"/>
      <c r="R5" s="257"/>
      <c r="S5" s="257"/>
      <c r="T5" s="257"/>
      <c r="U5" s="257"/>
      <c r="V5" s="257"/>
      <c r="W5" s="257"/>
      <c r="X5" s="257"/>
      <c r="Y5" s="257"/>
      <c r="Z5" s="257"/>
      <c r="AA5" s="257"/>
      <c r="AB5" s="257"/>
      <c r="AC5" s="257"/>
      <c r="AD5" s="257"/>
      <c r="AE5" s="237"/>
      <c r="AF5" s="256"/>
      <c r="AG5" s="257"/>
      <c r="AH5" s="257"/>
      <c r="AI5" s="257"/>
      <c r="AJ5" s="257"/>
      <c r="AK5" s="257"/>
      <c r="AL5" s="257"/>
      <c r="AM5" s="237"/>
      <c r="AN5" s="11"/>
      <c r="AO5" s="11"/>
    </row>
    <row r="6" spans="1:41" ht="29" customHeight="1" x14ac:dyDescent="0.2">
      <c r="A6" s="273" t="s">
        <v>19</v>
      </c>
      <c r="B6" s="273" t="s">
        <v>20</v>
      </c>
      <c r="C6" s="15">
        <f>Y2-X2+Z2</f>
        <v>0</v>
      </c>
      <c r="D6" s="273" t="s">
        <v>21</v>
      </c>
      <c r="E6" s="263" t="s">
        <v>22</v>
      </c>
      <c r="F6" s="244"/>
      <c r="G6" s="264" t="s">
        <v>23</v>
      </c>
      <c r="H6" s="265" t="s">
        <v>24</v>
      </c>
      <c r="I6" s="243"/>
      <c r="J6" s="243"/>
      <c r="K6" s="244"/>
      <c r="L6" s="265" t="s">
        <v>25</v>
      </c>
      <c r="M6" s="243"/>
      <c r="N6" s="243"/>
      <c r="O6" s="244"/>
      <c r="P6" s="265" t="s">
        <v>26</v>
      </c>
      <c r="Q6" s="243"/>
      <c r="R6" s="243"/>
      <c r="S6" s="244"/>
      <c r="T6" s="265" t="s">
        <v>27</v>
      </c>
      <c r="U6" s="243"/>
      <c r="V6" s="243"/>
      <c r="W6" s="244"/>
      <c r="X6" s="265" t="s">
        <v>28</v>
      </c>
      <c r="Y6" s="243"/>
      <c r="Z6" s="243"/>
      <c r="AA6" s="244"/>
      <c r="AB6" s="265" t="s">
        <v>29</v>
      </c>
      <c r="AC6" s="243"/>
      <c r="AD6" s="243"/>
      <c r="AE6" s="244"/>
      <c r="AF6" s="265" t="s">
        <v>30</v>
      </c>
      <c r="AG6" s="243"/>
      <c r="AH6" s="243"/>
      <c r="AI6" s="244"/>
      <c r="AJ6" s="265" t="s">
        <v>31</v>
      </c>
      <c r="AK6" s="243"/>
      <c r="AL6" s="243"/>
      <c r="AM6" s="244"/>
      <c r="AN6" s="11"/>
      <c r="AO6" s="11"/>
    </row>
    <row r="7" spans="1:41" ht="39" customHeight="1" x14ac:dyDescent="0.2">
      <c r="A7" s="249"/>
      <c r="B7" s="249"/>
      <c r="C7" s="16" t="s">
        <v>32</v>
      </c>
      <c r="D7" s="249"/>
      <c r="E7" s="15" t="s">
        <v>33</v>
      </c>
      <c r="F7" s="15" t="s">
        <v>34</v>
      </c>
      <c r="G7" s="249"/>
      <c r="H7" s="17" t="s">
        <v>35</v>
      </c>
      <c r="I7" s="17" t="s">
        <v>36</v>
      </c>
      <c r="J7" s="17" t="s">
        <v>37</v>
      </c>
      <c r="K7" s="17" t="s">
        <v>38</v>
      </c>
      <c r="L7" s="17" t="s">
        <v>35</v>
      </c>
      <c r="M7" s="17" t="s">
        <v>36</v>
      </c>
      <c r="N7" s="17" t="s">
        <v>37</v>
      </c>
      <c r="O7" s="17" t="s">
        <v>38</v>
      </c>
      <c r="P7" s="17" t="s">
        <v>35</v>
      </c>
      <c r="Q7" s="17" t="s">
        <v>36</v>
      </c>
      <c r="R7" s="17" t="s">
        <v>37</v>
      </c>
      <c r="S7" s="17" t="s">
        <v>38</v>
      </c>
      <c r="T7" s="17" t="s">
        <v>35</v>
      </c>
      <c r="U7" s="17" t="s">
        <v>36</v>
      </c>
      <c r="V7" s="17" t="s">
        <v>37</v>
      </c>
      <c r="W7" s="17" t="s">
        <v>38</v>
      </c>
      <c r="X7" s="17" t="s">
        <v>35</v>
      </c>
      <c r="Y7" s="17" t="s">
        <v>36</v>
      </c>
      <c r="Z7" s="17" t="s">
        <v>37</v>
      </c>
      <c r="AA7" s="17" t="s">
        <v>38</v>
      </c>
      <c r="AB7" s="17" t="s">
        <v>35</v>
      </c>
      <c r="AC7" s="17" t="s">
        <v>36</v>
      </c>
      <c r="AD7" s="17" t="s">
        <v>37</v>
      </c>
      <c r="AE7" s="17" t="s">
        <v>38</v>
      </c>
      <c r="AF7" s="17" t="s">
        <v>35</v>
      </c>
      <c r="AG7" s="17" t="s">
        <v>36</v>
      </c>
      <c r="AH7" s="17" t="s">
        <v>37</v>
      </c>
      <c r="AI7" s="17" t="s">
        <v>38</v>
      </c>
      <c r="AJ7" s="17" t="s">
        <v>35</v>
      </c>
      <c r="AK7" s="17" t="s">
        <v>36</v>
      </c>
      <c r="AL7" s="17" t="s">
        <v>37</v>
      </c>
      <c r="AM7" s="17" t="s">
        <v>38</v>
      </c>
      <c r="AN7" s="11"/>
      <c r="AO7" s="11"/>
    </row>
    <row r="8" spans="1:41" ht="15" x14ac:dyDescent="0.2">
      <c r="A8" s="266" t="s">
        <v>129</v>
      </c>
      <c r="B8" s="267"/>
      <c r="C8" s="243"/>
      <c r="D8" s="243"/>
      <c r="E8" s="243"/>
      <c r="F8" s="243"/>
      <c r="G8" s="268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69"/>
      <c r="X8" s="269"/>
      <c r="Y8" s="269"/>
      <c r="Z8" s="269"/>
      <c r="AA8" s="269"/>
      <c r="AB8" s="269"/>
      <c r="AC8" s="269"/>
      <c r="AD8" s="269"/>
      <c r="AE8" s="269"/>
      <c r="AF8" s="269"/>
      <c r="AG8" s="269"/>
      <c r="AH8" s="269"/>
      <c r="AI8" s="269"/>
      <c r="AJ8" s="269"/>
      <c r="AK8" s="269"/>
      <c r="AL8" s="269"/>
      <c r="AM8" s="269"/>
      <c r="AN8" s="230"/>
      <c r="AO8" s="230"/>
    </row>
    <row r="9" spans="1:41" ht="20" customHeight="1" x14ac:dyDescent="0.2">
      <c r="A9" s="18" t="s">
        <v>130</v>
      </c>
      <c r="B9" s="18" t="s">
        <v>131</v>
      </c>
      <c r="C9" s="20">
        <v>1</v>
      </c>
      <c r="D9" s="13" t="s">
        <v>18</v>
      </c>
      <c r="E9" s="13" t="s">
        <v>132</v>
      </c>
      <c r="F9" s="13"/>
      <c r="G9" s="232">
        <v>46217</v>
      </c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1"/>
      <c r="X9" s="231"/>
      <c r="Y9" s="231"/>
      <c r="Z9" s="231"/>
      <c r="AA9" s="231"/>
      <c r="AB9" s="231"/>
      <c r="AC9" s="231"/>
      <c r="AD9" s="231"/>
      <c r="AE9" s="231"/>
      <c r="AF9" s="231"/>
      <c r="AG9" s="231"/>
      <c r="AH9" s="231"/>
      <c r="AI9" s="231"/>
      <c r="AJ9" s="231"/>
      <c r="AK9" s="231"/>
      <c r="AL9" s="231"/>
      <c r="AM9" s="231"/>
      <c r="AN9" s="230"/>
      <c r="AO9" s="230"/>
    </row>
    <row r="10" spans="1:41" ht="16" x14ac:dyDescent="0.2">
      <c r="A10" s="18" t="s">
        <v>133</v>
      </c>
      <c r="B10" s="18" t="s">
        <v>134</v>
      </c>
      <c r="C10" s="20">
        <v>8</v>
      </c>
      <c r="D10" s="13" t="s">
        <v>15</v>
      </c>
      <c r="E10" s="13" t="s">
        <v>135</v>
      </c>
      <c r="F10" s="13"/>
      <c r="G10" s="232">
        <v>46226</v>
      </c>
      <c r="H10" s="231"/>
      <c r="I10" s="231"/>
      <c r="J10" s="231"/>
      <c r="K10" s="231"/>
      <c r="L10" s="231"/>
      <c r="M10" s="231"/>
      <c r="N10" s="231"/>
      <c r="O10" s="231"/>
      <c r="P10" s="231"/>
      <c r="Q10" s="231"/>
      <c r="R10" s="231"/>
      <c r="S10" s="231"/>
      <c r="T10" s="231"/>
      <c r="U10" s="231"/>
      <c r="V10" s="231"/>
      <c r="W10" s="231"/>
      <c r="X10" s="231"/>
      <c r="Y10" s="231"/>
      <c r="Z10" s="231"/>
      <c r="AA10" s="231"/>
      <c r="AB10" s="231"/>
      <c r="AC10" s="231"/>
      <c r="AD10" s="231"/>
      <c r="AE10" s="231"/>
      <c r="AF10" s="231"/>
      <c r="AG10" s="231"/>
      <c r="AH10" s="231"/>
      <c r="AI10" s="231"/>
      <c r="AJ10" s="231"/>
      <c r="AK10" s="231"/>
      <c r="AL10" s="231"/>
      <c r="AM10" s="231"/>
      <c r="AN10" s="230"/>
      <c r="AO10" s="230"/>
    </row>
    <row r="11" spans="1:41" ht="16" x14ac:dyDescent="0.2">
      <c r="A11" s="18" t="s">
        <v>136</v>
      </c>
      <c r="B11" s="18" t="s">
        <v>137</v>
      </c>
      <c r="C11" s="20">
        <v>8</v>
      </c>
      <c r="D11" s="13" t="s">
        <v>15</v>
      </c>
      <c r="E11" s="13" t="s">
        <v>138</v>
      </c>
      <c r="F11" s="13"/>
      <c r="G11" s="232">
        <v>46227</v>
      </c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1"/>
      <c r="X11" s="231"/>
      <c r="Y11" s="231"/>
      <c r="Z11" s="231"/>
      <c r="AA11" s="231"/>
      <c r="AB11" s="231"/>
      <c r="AC11" s="231"/>
      <c r="AD11" s="231"/>
      <c r="AE11" s="231"/>
      <c r="AF11" s="231"/>
      <c r="AG11" s="231"/>
      <c r="AH11" s="231"/>
      <c r="AI11" s="231"/>
      <c r="AJ11" s="231"/>
      <c r="AK11" s="231"/>
      <c r="AL11" s="231"/>
      <c r="AM11" s="231"/>
      <c r="AN11" s="230"/>
      <c r="AO11" s="230"/>
    </row>
    <row r="12" spans="1:41" ht="16" x14ac:dyDescent="0.2">
      <c r="A12" s="18" t="s">
        <v>139</v>
      </c>
      <c r="B12" s="18" t="s">
        <v>140</v>
      </c>
      <c r="C12" s="20"/>
      <c r="D12" s="13"/>
      <c r="E12" s="13"/>
      <c r="F12" s="13"/>
      <c r="G12" s="232"/>
      <c r="H12" s="231"/>
      <c r="I12" s="231"/>
      <c r="J12" s="231"/>
      <c r="K12" s="231"/>
      <c r="L12" s="231"/>
      <c r="M12" s="231"/>
      <c r="N12" s="231"/>
      <c r="O12" s="231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A12" s="231"/>
      <c r="AB12" s="231"/>
      <c r="AC12" s="231"/>
      <c r="AD12" s="231"/>
      <c r="AE12" s="231"/>
      <c r="AF12" s="231"/>
      <c r="AG12" s="231"/>
      <c r="AH12" s="231"/>
      <c r="AI12" s="231"/>
      <c r="AJ12" s="231"/>
      <c r="AK12" s="231"/>
      <c r="AL12" s="231"/>
      <c r="AM12" s="231"/>
      <c r="AN12" s="230"/>
      <c r="AO12" s="230"/>
    </row>
    <row r="13" spans="1:41" ht="16" x14ac:dyDescent="0.2">
      <c r="A13" s="18" t="s">
        <v>141</v>
      </c>
      <c r="B13" s="18" t="s">
        <v>142</v>
      </c>
      <c r="C13" s="20">
        <v>8</v>
      </c>
      <c r="D13" s="13" t="s">
        <v>15</v>
      </c>
      <c r="E13" s="13" t="s">
        <v>143</v>
      </c>
      <c r="F13" s="13"/>
      <c r="G13" s="232">
        <v>46237</v>
      </c>
      <c r="H13" s="231"/>
      <c r="I13" s="231"/>
      <c r="J13" s="231"/>
      <c r="K13" s="231"/>
      <c r="L13" s="231"/>
      <c r="M13" s="231"/>
      <c r="N13" s="231"/>
      <c r="O13" s="231"/>
      <c r="P13" s="231"/>
      <c r="Q13" s="231"/>
      <c r="R13" s="231"/>
      <c r="S13" s="231"/>
      <c r="T13" s="231"/>
      <c r="U13" s="231"/>
      <c r="V13" s="231"/>
      <c r="W13" s="231"/>
      <c r="X13" s="231"/>
      <c r="Y13" s="231"/>
      <c r="Z13" s="231"/>
      <c r="AA13" s="231"/>
      <c r="AB13" s="231"/>
      <c r="AC13" s="231"/>
      <c r="AD13" s="231"/>
      <c r="AE13" s="231"/>
      <c r="AF13" s="231"/>
      <c r="AG13" s="231"/>
      <c r="AH13" s="231"/>
      <c r="AI13" s="231"/>
      <c r="AJ13" s="231"/>
      <c r="AK13" s="231"/>
      <c r="AL13" s="231"/>
      <c r="AM13" s="231"/>
      <c r="AN13" s="230"/>
      <c r="AO13" s="230"/>
    </row>
    <row r="14" spans="1:41" ht="16" x14ac:dyDescent="0.2">
      <c r="A14" s="18" t="s">
        <v>144</v>
      </c>
      <c r="B14" s="18" t="s">
        <v>145</v>
      </c>
      <c r="C14" s="20">
        <v>14</v>
      </c>
      <c r="D14" s="13" t="s">
        <v>17</v>
      </c>
      <c r="E14" s="13" t="s">
        <v>146</v>
      </c>
      <c r="F14" s="13"/>
      <c r="G14" s="232">
        <v>46248</v>
      </c>
      <c r="H14" s="231"/>
      <c r="I14" s="231"/>
      <c r="J14" s="231"/>
      <c r="K14" s="231"/>
      <c r="L14" s="231"/>
      <c r="M14" s="231"/>
      <c r="N14" s="231"/>
      <c r="O14" s="231"/>
      <c r="P14" s="231"/>
      <c r="Q14" s="231"/>
      <c r="R14" s="231"/>
      <c r="S14" s="231"/>
      <c r="T14" s="231"/>
      <c r="U14" s="231"/>
      <c r="V14" s="231"/>
      <c r="W14" s="231"/>
      <c r="X14" s="231"/>
      <c r="Y14" s="231"/>
      <c r="Z14" s="231"/>
      <c r="AA14" s="231"/>
      <c r="AB14" s="231"/>
      <c r="AC14" s="231"/>
      <c r="AD14" s="231"/>
      <c r="AE14" s="231"/>
      <c r="AF14" s="231"/>
      <c r="AG14" s="231"/>
      <c r="AH14" s="231"/>
      <c r="AI14" s="231"/>
      <c r="AJ14" s="231"/>
      <c r="AK14" s="231"/>
      <c r="AL14" s="231"/>
      <c r="AM14" s="231"/>
      <c r="AN14" s="230"/>
      <c r="AO14" s="230"/>
    </row>
    <row r="15" spans="1:41" ht="16" x14ac:dyDescent="0.2">
      <c r="A15" s="18" t="s">
        <v>147</v>
      </c>
      <c r="B15" s="18" t="s">
        <v>148</v>
      </c>
      <c r="C15" s="20"/>
      <c r="D15" s="13"/>
      <c r="E15" s="13"/>
      <c r="F15" s="13"/>
      <c r="G15" s="232"/>
      <c r="H15" s="231"/>
      <c r="I15" s="231"/>
      <c r="J15" s="231"/>
      <c r="K15" s="231"/>
      <c r="L15" s="231"/>
      <c r="M15" s="231"/>
      <c r="N15" s="231"/>
      <c r="O15" s="231"/>
      <c r="P15" s="231"/>
      <c r="Q15" s="231"/>
      <c r="R15" s="231"/>
      <c r="S15" s="231"/>
      <c r="T15" s="231"/>
      <c r="U15" s="231"/>
      <c r="V15" s="231"/>
      <c r="W15" s="231"/>
      <c r="X15" s="231"/>
      <c r="Y15" s="231"/>
      <c r="Z15" s="231"/>
      <c r="AA15" s="231"/>
      <c r="AB15" s="231"/>
      <c r="AC15" s="231"/>
      <c r="AD15" s="231"/>
      <c r="AE15" s="231"/>
      <c r="AF15" s="231"/>
      <c r="AG15" s="231"/>
      <c r="AH15" s="231"/>
      <c r="AI15" s="231"/>
      <c r="AJ15" s="231"/>
      <c r="AK15" s="231"/>
      <c r="AL15" s="231"/>
      <c r="AM15" s="231"/>
      <c r="AN15" s="230"/>
      <c r="AO15" s="230"/>
    </row>
    <row r="16" spans="1:41" ht="15" x14ac:dyDescent="0.2">
      <c r="A16" s="266" t="s">
        <v>149</v>
      </c>
      <c r="B16" s="267" t="s">
        <v>150</v>
      </c>
      <c r="C16" s="243">
        <v>14</v>
      </c>
      <c r="D16" s="243" t="s">
        <v>17</v>
      </c>
      <c r="E16" s="243" t="s">
        <v>146</v>
      </c>
      <c r="F16" s="243"/>
      <c r="G16" s="268">
        <v>46258</v>
      </c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69"/>
      <c r="X16" s="269"/>
      <c r="Y16" s="269"/>
      <c r="Z16" s="269"/>
      <c r="AA16" s="269"/>
      <c r="AB16" s="269"/>
      <c r="AC16" s="269"/>
      <c r="AD16" s="269"/>
      <c r="AE16" s="269"/>
      <c r="AF16" s="269"/>
      <c r="AG16" s="269"/>
      <c r="AH16" s="269"/>
      <c r="AI16" s="269"/>
      <c r="AJ16" s="269"/>
      <c r="AK16" s="269"/>
      <c r="AL16" s="269"/>
      <c r="AM16" s="269"/>
      <c r="AN16" s="230"/>
      <c r="AO16" s="230"/>
    </row>
    <row r="17" spans="1:41" ht="16" x14ac:dyDescent="0.2">
      <c r="A17" s="18" t="s">
        <v>151</v>
      </c>
      <c r="B17" s="18" t="s">
        <v>152</v>
      </c>
      <c r="C17" s="20">
        <v>10</v>
      </c>
      <c r="D17" s="13" t="s">
        <v>17</v>
      </c>
      <c r="E17" s="13" t="s">
        <v>143</v>
      </c>
      <c r="F17" s="13"/>
      <c r="G17" s="232">
        <v>46265</v>
      </c>
      <c r="H17" s="231"/>
      <c r="I17" s="231"/>
      <c r="J17" s="231"/>
      <c r="K17" s="231"/>
      <c r="L17" s="231"/>
      <c r="M17" s="231"/>
      <c r="N17" s="231"/>
      <c r="O17" s="231"/>
      <c r="P17" s="231"/>
      <c r="Q17" s="231"/>
      <c r="R17" s="231"/>
      <c r="S17" s="231"/>
      <c r="T17" s="231"/>
      <c r="U17" s="231"/>
      <c r="V17" s="231"/>
      <c r="W17" s="231"/>
      <c r="X17" s="231"/>
      <c r="Y17" s="231"/>
      <c r="Z17" s="231"/>
      <c r="AA17" s="231"/>
      <c r="AB17" s="231"/>
      <c r="AC17" s="231"/>
      <c r="AD17" s="231"/>
      <c r="AE17" s="231"/>
      <c r="AF17" s="231"/>
      <c r="AG17" s="231"/>
      <c r="AH17" s="231"/>
      <c r="AI17" s="231"/>
      <c r="AJ17" s="231"/>
      <c r="AK17" s="231"/>
      <c r="AL17" s="231"/>
      <c r="AM17" s="231"/>
      <c r="AN17" s="230"/>
      <c r="AO17" s="230"/>
    </row>
    <row r="18" spans="1:41" ht="16" x14ac:dyDescent="0.2">
      <c r="A18" s="18" t="s">
        <v>153</v>
      </c>
      <c r="B18" s="18" t="s">
        <v>154</v>
      </c>
      <c r="C18" s="20">
        <v>10</v>
      </c>
      <c r="D18" s="13" t="s">
        <v>17</v>
      </c>
      <c r="E18" s="13" t="s">
        <v>146</v>
      </c>
      <c r="F18" s="13"/>
      <c r="G18" s="232">
        <v>46269</v>
      </c>
      <c r="H18" s="231"/>
      <c r="I18" s="231"/>
      <c r="J18" s="231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  <c r="V18" s="231"/>
      <c r="W18" s="231"/>
      <c r="X18" s="231"/>
      <c r="Y18" s="231"/>
      <c r="Z18" s="231"/>
      <c r="AA18" s="231"/>
      <c r="AB18" s="231"/>
      <c r="AC18" s="231"/>
      <c r="AD18" s="231"/>
      <c r="AE18" s="231"/>
      <c r="AF18" s="231"/>
      <c r="AG18" s="231"/>
      <c r="AH18" s="231"/>
      <c r="AI18" s="231"/>
      <c r="AJ18" s="231"/>
      <c r="AK18" s="231"/>
      <c r="AL18" s="231"/>
      <c r="AM18" s="231"/>
      <c r="AN18" s="230"/>
      <c r="AO18" s="230"/>
    </row>
    <row r="19" spans="1:41" ht="16" x14ac:dyDescent="0.2">
      <c r="A19" s="18" t="s">
        <v>155</v>
      </c>
      <c r="B19" s="18" t="s">
        <v>156</v>
      </c>
      <c r="C19" s="20"/>
      <c r="D19" s="13"/>
      <c r="E19" s="13"/>
      <c r="F19" s="13"/>
      <c r="G19" s="232"/>
      <c r="H19" s="231"/>
      <c r="I19" s="231"/>
      <c r="J19" s="231"/>
      <c r="K19" s="231"/>
      <c r="L19" s="231"/>
      <c r="M19" s="231"/>
      <c r="N19" s="231"/>
      <c r="O19" s="231"/>
      <c r="P19" s="231"/>
      <c r="Q19" s="231"/>
      <c r="R19" s="231"/>
      <c r="S19" s="231"/>
      <c r="T19" s="231"/>
      <c r="U19" s="231"/>
      <c r="V19" s="231"/>
      <c r="W19" s="231"/>
      <c r="X19" s="231"/>
      <c r="Y19" s="231"/>
      <c r="Z19" s="231"/>
      <c r="AA19" s="231"/>
      <c r="AB19" s="231"/>
      <c r="AC19" s="231"/>
      <c r="AD19" s="231"/>
      <c r="AE19" s="231"/>
      <c r="AF19" s="231"/>
      <c r="AG19" s="231"/>
      <c r="AH19" s="231"/>
      <c r="AI19" s="231"/>
      <c r="AJ19" s="231"/>
      <c r="AK19" s="231"/>
      <c r="AL19" s="231"/>
      <c r="AM19" s="231"/>
      <c r="AN19" s="230"/>
      <c r="AO19" s="230"/>
    </row>
    <row r="20" spans="1:41" ht="16" x14ac:dyDescent="0.2">
      <c r="A20" s="18" t="s">
        <v>157</v>
      </c>
      <c r="B20" s="18" t="s">
        <v>158</v>
      </c>
      <c r="C20" s="20">
        <v>6</v>
      </c>
      <c r="D20" s="13" t="s">
        <v>17</v>
      </c>
      <c r="E20" s="13" t="s">
        <v>143</v>
      </c>
      <c r="F20" s="13"/>
      <c r="G20" s="232">
        <v>46273</v>
      </c>
      <c r="H20" s="231"/>
      <c r="I20" s="231"/>
      <c r="J20" s="231"/>
      <c r="K20" s="231"/>
      <c r="L20" s="231"/>
      <c r="M20" s="231"/>
      <c r="N20" s="231"/>
      <c r="O20" s="231"/>
      <c r="P20" s="231"/>
      <c r="Q20" s="231"/>
      <c r="R20" s="231"/>
      <c r="S20" s="231"/>
      <c r="T20" s="231"/>
      <c r="U20" s="231"/>
      <c r="V20" s="231"/>
      <c r="W20" s="231"/>
      <c r="X20" s="231"/>
      <c r="Y20" s="231"/>
      <c r="Z20" s="231"/>
      <c r="AA20" s="231"/>
      <c r="AB20" s="231"/>
      <c r="AC20" s="231"/>
      <c r="AD20" s="231"/>
      <c r="AE20" s="231"/>
      <c r="AF20" s="231"/>
      <c r="AG20" s="231"/>
      <c r="AH20" s="231"/>
      <c r="AI20" s="231"/>
      <c r="AJ20" s="231"/>
      <c r="AK20" s="231"/>
      <c r="AL20" s="231"/>
      <c r="AM20" s="231"/>
      <c r="AN20" s="230"/>
      <c r="AO20" s="230"/>
    </row>
    <row r="21" spans="1:41" ht="21" customHeight="1" x14ac:dyDescent="0.2">
      <c r="A21" s="18" t="s">
        <v>159</v>
      </c>
      <c r="B21" s="18" t="s">
        <v>160</v>
      </c>
      <c r="C21" s="20">
        <v>10</v>
      </c>
      <c r="D21" s="13" t="s">
        <v>17</v>
      </c>
      <c r="E21" s="13" t="s">
        <v>146</v>
      </c>
      <c r="F21" s="13"/>
      <c r="G21" s="232">
        <v>46281</v>
      </c>
      <c r="H21" s="231"/>
      <c r="I21" s="231"/>
      <c r="J21" s="231"/>
      <c r="K21" s="231"/>
      <c r="L21" s="231"/>
      <c r="M21" s="231"/>
      <c r="N21" s="231"/>
      <c r="O21" s="231"/>
      <c r="P21" s="231"/>
      <c r="Q21" s="231"/>
      <c r="R21" s="231"/>
      <c r="S21" s="231"/>
      <c r="T21" s="231"/>
      <c r="U21" s="231"/>
      <c r="V21" s="231"/>
      <c r="W21" s="231"/>
      <c r="X21" s="231"/>
      <c r="Y21" s="231"/>
      <c r="Z21" s="231"/>
      <c r="AA21" s="231"/>
      <c r="AB21" s="231"/>
      <c r="AC21" s="231"/>
      <c r="AD21" s="231"/>
      <c r="AE21" s="231"/>
      <c r="AF21" s="231"/>
      <c r="AG21" s="231"/>
      <c r="AH21" s="231"/>
      <c r="AI21" s="231"/>
      <c r="AJ21" s="231"/>
      <c r="AK21" s="231"/>
      <c r="AL21" s="231"/>
      <c r="AM21" s="231"/>
      <c r="AN21" s="230"/>
      <c r="AO21" s="230"/>
    </row>
    <row r="22" spans="1:41" ht="20" customHeight="1" x14ac:dyDescent="0.2">
      <c r="A22" s="266" t="s">
        <v>161</v>
      </c>
      <c r="B22" s="267" t="s">
        <v>162</v>
      </c>
      <c r="C22" s="243">
        <v>6</v>
      </c>
      <c r="D22" s="243" t="s">
        <v>17</v>
      </c>
      <c r="E22" s="243" t="s">
        <v>146</v>
      </c>
      <c r="F22" s="243"/>
      <c r="G22" s="268">
        <v>46283</v>
      </c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69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  <c r="AL22" s="269"/>
      <c r="AM22" s="269"/>
      <c r="AN22" s="230"/>
      <c r="AO22" s="230"/>
    </row>
    <row r="23" spans="1:41" ht="42" customHeight="1" x14ac:dyDescent="0.2">
      <c r="A23" s="18" t="s">
        <v>163</v>
      </c>
      <c r="B23" s="18" t="s">
        <v>164</v>
      </c>
      <c r="C23" s="20"/>
      <c r="D23" s="13"/>
      <c r="E23" s="13"/>
      <c r="F23" s="13"/>
      <c r="G23" s="232"/>
      <c r="H23" s="231"/>
      <c r="I23" s="231"/>
      <c r="J23" s="231"/>
      <c r="K23" s="231"/>
      <c r="L23" s="231"/>
      <c r="M23" s="231"/>
      <c r="N23" s="231"/>
      <c r="O23" s="231"/>
      <c r="P23" s="231"/>
      <c r="Q23" s="231"/>
      <c r="R23" s="231"/>
      <c r="S23" s="231"/>
      <c r="T23" s="231"/>
      <c r="U23" s="231"/>
      <c r="V23" s="231"/>
      <c r="W23" s="231"/>
      <c r="X23" s="231"/>
      <c r="Y23" s="231"/>
      <c r="Z23" s="231"/>
      <c r="AA23" s="231"/>
      <c r="AB23" s="231"/>
      <c r="AC23" s="231"/>
      <c r="AD23" s="231"/>
      <c r="AE23" s="231"/>
      <c r="AF23" s="231"/>
      <c r="AG23" s="231"/>
      <c r="AH23" s="231"/>
      <c r="AI23" s="231"/>
      <c r="AJ23" s="231"/>
      <c r="AK23" s="231"/>
      <c r="AL23" s="231"/>
      <c r="AM23" s="231"/>
      <c r="AN23" s="230"/>
      <c r="AO23" s="230"/>
    </row>
    <row r="24" spans="1:41" ht="21" customHeight="1" x14ac:dyDescent="0.2">
      <c r="A24" s="18" t="s">
        <v>165</v>
      </c>
      <c r="B24" s="18" t="s">
        <v>166</v>
      </c>
      <c r="C24" s="20">
        <v>9</v>
      </c>
      <c r="D24" s="13" t="s">
        <v>17</v>
      </c>
      <c r="E24" s="13" t="s">
        <v>146</v>
      </c>
      <c r="F24" s="13"/>
      <c r="G24" s="232">
        <v>46290</v>
      </c>
      <c r="H24" s="231"/>
      <c r="I24" s="231"/>
      <c r="J24" s="231"/>
      <c r="K24" s="231"/>
      <c r="L24" s="231"/>
      <c r="M24" s="231"/>
      <c r="N24" s="231"/>
      <c r="O24" s="231"/>
      <c r="P24" s="231"/>
      <c r="Q24" s="231"/>
      <c r="R24" s="231"/>
      <c r="S24" s="231"/>
      <c r="T24" s="231"/>
      <c r="U24" s="231"/>
      <c r="V24" s="231"/>
      <c r="W24" s="231"/>
      <c r="X24" s="231"/>
      <c r="Y24" s="231"/>
      <c r="Z24" s="231"/>
      <c r="AA24" s="231"/>
      <c r="AB24" s="231"/>
      <c r="AC24" s="231"/>
      <c r="AD24" s="231"/>
      <c r="AE24" s="231"/>
      <c r="AF24" s="231"/>
      <c r="AG24" s="231"/>
      <c r="AH24" s="231"/>
      <c r="AI24" s="231"/>
      <c r="AJ24" s="231"/>
      <c r="AK24" s="231"/>
      <c r="AL24" s="231"/>
      <c r="AM24" s="231"/>
      <c r="AN24" s="230"/>
      <c r="AO24" s="230"/>
    </row>
    <row r="25" spans="1:41" ht="24" customHeight="1" x14ac:dyDescent="0.2">
      <c r="A25" s="18" t="s">
        <v>167</v>
      </c>
      <c r="B25" s="18" t="s">
        <v>168</v>
      </c>
      <c r="C25" s="20">
        <v>8</v>
      </c>
      <c r="D25" s="13" t="s">
        <v>17</v>
      </c>
      <c r="E25" s="13" t="s">
        <v>143</v>
      </c>
      <c r="F25" s="13"/>
      <c r="G25" s="232">
        <v>46295</v>
      </c>
      <c r="H25" s="231"/>
      <c r="I25" s="231"/>
      <c r="J25" s="231"/>
      <c r="K25" s="231"/>
      <c r="L25" s="231"/>
      <c r="M25" s="231"/>
      <c r="N25" s="231"/>
      <c r="O25" s="231"/>
      <c r="P25" s="231"/>
      <c r="Q25" s="231"/>
      <c r="R25" s="231"/>
      <c r="S25" s="231"/>
      <c r="T25" s="231"/>
      <c r="U25" s="231"/>
      <c r="V25" s="231"/>
      <c r="W25" s="231"/>
      <c r="X25" s="231"/>
      <c r="Y25" s="231"/>
      <c r="Z25" s="231"/>
      <c r="AA25" s="231"/>
      <c r="AB25" s="231"/>
      <c r="AC25" s="231"/>
      <c r="AD25" s="231"/>
      <c r="AE25" s="231"/>
      <c r="AF25" s="231"/>
      <c r="AG25" s="231"/>
      <c r="AH25" s="231"/>
      <c r="AI25" s="231"/>
      <c r="AJ25" s="231"/>
      <c r="AK25" s="231"/>
      <c r="AL25" s="231"/>
      <c r="AM25" s="231"/>
      <c r="AN25" s="230"/>
      <c r="AO25" s="230"/>
    </row>
    <row r="26" spans="1:41" ht="26" customHeight="1" x14ac:dyDescent="0.2">
      <c r="A26" s="18" t="s">
        <v>169</v>
      </c>
      <c r="B26" s="18" t="s">
        <v>170</v>
      </c>
      <c r="C26" s="20">
        <v>6</v>
      </c>
      <c r="D26" s="13" t="s">
        <v>17</v>
      </c>
      <c r="E26" s="13" t="s">
        <v>146</v>
      </c>
      <c r="F26" s="13"/>
      <c r="G26" s="232">
        <v>46297</v>
      </c>
      <c r="H26" s="231"/>
      <c r="I26" s="231"/>
      <c r="J26" s="231"/>
      <c r="K26" s="231"/>
      <c r="L26" s="231"/>
      <c r="M26" s="231"/>
      <c r="N26" s="231"/>
      <c r="O26" s="231"/>
      <c r="P26" s="231"/>
      <c r="Q26" s="231"/>
      <c r="R26" s="231"/>
      <c r="S26" s="231"/>
      <c r="T26" s="231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  <c r="AK26" s="231"/>
      <c r="AL26" s="231"/>
      <c r="AM26" s="231"/>
      <c r="AN26" s="230"/>
      <c r="AO26" s="230"/>
    </row>
    <row r="27" spans="1:41" ht="27" customHeight="1" x14ac:dyDescent="0.2">
      <c r="A27" s="18" t="s">
        <v>171</v>
      </c>
      <c r="B27" s="233" t="s">
        <v>172</v>
      </c>
      <c r="C27" s="22"/>
      <c r="D27" s="13"/>
      <c r="E27" s="13"/>
      <c r="F27" s="13"/>
      <c r="G27" s="232"/>
      <c r="H27" s="231"/>
      <c r="I27" s="231"/>
      <c r="J27" s="231"/>
      <c r="K27" s="231"/>
      <c r="L27" s="231"/>
      <c r="M27" s="231"/>
      <c r="N27" s="231"/>
      <c r="O27" s="231"/>
      <c r="P27" s="231"/>
      <c r="Q27" s="231"/>
      <c r="R27" s="231"/>
      <c r="S27" s="231"/>
      <c r="T27" s="231"/>
      <c r="U27" s="231"/>
      <c r="V27" s="231"/>
      <c r="W27" s="231"/>
      <c r="X27" s="231"/>
      <c r="Y27" s="231"/>
      <c r="Z27" s="231"/>
      <c r="AA27" s="231"/>
      <c r="AB27" s="231"/>
      <c r="AC27" s="231"/>
      <c r="AD27" s="231"/>
      <c r="AE27" s="231"/>
      <c r="AF27" s="231"/>
      <c r="AG27" s="231"/>
      <c r="AH27" s="231"/>
      <c r="AI27" s="231"/>
      <c r="AJ27" s="231"/>
      <c r="AK27" s="231"/>
      <c r="AL27" s="231"/>
      <c r="AM27" s="231"/>
      <c r="AN27" s="230"/>
      <c r="AO27" s="230"/>
    </row>
    <row r="28" spans="1:41" ht="21" customHeight="1" x14ac:dyDescent="0.2">
      <c r="A28" s="266" t="s">
        <v>173</v>
      </c>
      <c r="B28" s="267" t="s">
        <v>174</v>
      </c>
      <c r="C28" s="243">
        <v>8</v>
      </c>
      <c r="D28" s="243" t="s">
        <v>17</v>
      </c>
      <c r="E28" s="243" t="s">
        <v>175</v>
      </c>
      <c r="F28" s="243"/>
      <c r="G28" s="268">
        <v>46302</v>
      </c>
      <c r="H28" s="269"/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269"/>
      <c r="V28" s="269"/>
      <c r="W28" s="269"/>
      <c r="X28" s="269"/>
      <c r="Y28" s="269"/>
      <c r="Z28" s="269"/>
      <c r="AA28" s="269"/>
      <c r="AB28" s="269"/>
      <c r="AC28" s="269"/>
      <c r="AD28" s="269"/>
      <c r="AE28" s="269"/>
      <c r="AF28" s="269"/>
      <c r="AG28" s="269"/>
      <c r="AH28" s="269"/>
      <c r="AI28" s="269"/>
      <c r="AJ28" s="269"/>
      <c r="AK28" s="269"/>
      <c r="AL28" s="269"/>
      <c r="AM28" s="269"/>
      <c r="AN28" s="230"/>
      <c r="AO28" s="230"/>
    </row>
    <row r="29" spans="1:41" ht="21" customHeight="1" x14ac:dyDescent="0.2">
      <c r="A29" s="18" t="s">
        <v>176</v>
      </c>
      <c r="B29" s="18" t="s">
        <v>177</v>
      </c>
      <c r="C29" s="20">
        <v>6</v>
      </c>
      <c r="D29" s="13" t="s">
        <v>17</v>
      </c>
      <c r="E29" s="13" t="s">
        <v>178</v>
      </c>
      <c r="F29" s="13"/>
      <c r="G29" s="232">
        <v>46307</v>
      </c>
      <c r="H29" s="231"/>
      <c r="I29" s="231"/>
      <c r="J29" s="231"/>
      <c r="K29" s="231"/>
      <c r="L29" s="231"/>
      <c r="M29" s="231"/>
      <c r="N29" s="231"/>
      <c r="O29" s="231"/>
      <c r="P29" s="231"/>
      <c r="Q29" s="231"/>
      <c r="R29" s="231"/>
      <c r="S29" s="231"/>
      <c r="T29" s="231"/>
      <c r="U29" s="231"/>
      <c r="V29" s="231"/>
      <c r="W29" s="231"/>
      <c r="X29" s="231"/>
      <c r="Y29" s="231"/>
      <c r="Z29" s="231"/>
      <c r="AA29" s="231"/>
      <c r="AB29" s="231"/>
      <c r="AC29" s="231"/>
      <c r="AD29" s="231"/>
      <c r="AE29" s="231"/>
      <c r="AF29" s="231"/>
      <c r="AG29" s="231"/>
      <c r="AH29" s="231"/>
      <c r="AI29" s="231"/>
      <c r="AJ29" s="231"/>
      <c r="AK29" s="231"/>
      <c r="AL29" s="231"/>
      <c r="AM29" s="231"/>
      <c r="AN29" s="230"/>
      <c r="AO29" s="230"/>
    </row>
    <row r="30" spans="1:41" ht="21" customHeight="1" x14ac:dyDescent="0.2">
      <c r="A30" s="18" t="s">
        <v>179</v>
      </c>
      <c r="B30" s="18" t="s">
        <v>180</v>
      </c>
      <c r="C30" s="20">
        <v>4</v>
      </c>
      <c r="D30" s="13" t="s">
        <v>17</v>
      </c>
      <c r="E30" s="13" t="s">
        <v>181</v>
      </c>
      <c r="F30" s="13"/>
      <c r="G30" s="232">
        <v>46311</v>
      </c>
      <c r="H30" s="231"/>
      <c r="I30" s="231"/>
      <c r="J30" s="231"/>
      <c r="K30" s="231"/>
      <c r="L30" s="231"/>
      <c r="M30" s="231"/>
      <c r="N30" s="231"/>
      <c r="O30" s="231"/>
      <c r="P30" s="231"/>
      <c r="Q30" s="231"/>
      <c r="R30" s="231"/>
      <c r="S30" s="231"/>
      <c r="T30" s="231"/>
      <c r="U30" s="231"/>
      <c r="V30" s="231"/>
      <c r="W30" s="231"/>
      <c r="X30" s="231"/>
      <c r="Y30" s="231"/>
      <c r="Z30" s="231"/>
      <c r="AA30" s="231"/>
      <c r="AB30" s="231"/>
      <c r="AC30" s="231"/>
      <c r="AD30" s="231"/>
      <c r="AE30" s="231"/>
      <c r="AF30" s="231"/>
      <c r="AG30" s="231"/>
      <c r="AH30" s="231"/>
      <c r="AI30" s="231"/>
      <c r="AJ30" s="231"/>
      <c r="AK30" s="231"/>
      <c r="AL30" s="231"/>
      <c r="AM30" s="231"/>
      <c r="AN30" s="230"/>
      <c r="AO30" s="230"/>
    </row>
    <row r="31" spans="1:41" ht="21" customHeight="1" x14ac:dyDescent="0.2">
      <c r="A31" s="18"/>
      <c r="B31" s="19"/>
      <c r="C31" s="20"/>
      <c r="D31" s="13"/>
      <c r="E31" s="13"/>
      <c r="F31" s="13"/>
      <c r="G31" s="21"/>
      <c r="H31" s="231"/>
      <c r="I31" s="231"/>
      <c r="J31" s="231"/>
      <c r="K31" s="231"/>
      <c r="L31" s="231"/>
      <c r="M31" s="231"/>
      <c r="N31" s="231"/>
      <c r="O31" s="231"/>
      <c r="P31" s="231"/>
      <c r="Q31" s="231"/>
      <c r="R31" s="231"/>
      <c r="S31" s="231"/>
      <c r="T31" s="231"/>
      <c r="U31" s="231"/>
      <c r="V31" s="231"/>
      <c r="W31" s="231"/>
      <c r="X31" s="231"/>
      <c r="Y31" s="231"/>
      <c r="Z31" s="231"/>
      <c r="AA31" s="231"/>
      <c r="AB31" s="231"/>
      <c r="AC31" s="231"/>
      <c r="AD31" s="231"/>
      <c r="AE31" s="231"/>
      <c r="AF31" s="231"/>
      <c r="AG31" s="231"/>
      <c r="AH31" s="231"/>
      <c r="AI31" s="231"/>
      <c r="AJ31" s="231"/>
      <c r="AK31" s="231"/>
      <c r="AL31" s="231"/>
      <c r="AM31" s="231"/>
      <c r="AN31" s="230"/>
      <c r="AO31" s="230"/>
    </row>
    <row r="32" spans="1:41" ht="21" customHeight="1" x14ac:dyDescent="0.15"/>
    <row r="33" spans="1:39" ht="21" customHeight="1" x14ac:dyDescent="0.15">
      <c r="A33" s="254"/>
      <c r="B33" s="254"/>
      <c r="C33" s="254"/>
      <c r="D33" s="254"/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4"/>
      <c r="AM33" s="254"/>
    </row>
    <row r="34" spans="1:39" ht="21" customHeight="1" x14ac:dyDescent="0.15"/>
    <row r="35" spans="1:39" ht="21" customHeight="1" x14ac:dyDescent="0.15"/>
    <row r="36" spans="1:39" ht="21" customHeight="1" x14ac:dyDescent="0.15"/>
    <row r="37" spans="1:39" ht="21" customHeight="1" x14ac:dyDescent="0.15"/>
    <row r="38" spans="1:39" ht="21" customHeight="1" x14ac:dyDescent="0.15"/>
    <row r="39" spans="1:39" ht="21" customHeight="1" x14ac:dyDescent="0.15"/>
    <row r="40" spans="1:39" ht="21" customHeight="1" x14ac:dyDescent="0.15"/>
    <row r="41" spans="1:39" ht="21" customHeight="1" x14ac:dyDescent="0.15"/>
    <row r="42" spans="1:39" ht="21" customHeight="1" x14ac:dyDescent="0.15"/>
    <row r="43" spans="1:39" ht="21" customHeight="1" x14ac:dyDescent="0.15"/>
    <row r="44" spans="1:39" ht="21" customHeight="1" x14ac:dyDescent="0.15"/>
    <row r="45" spans="1:39" ht="21" customHeight="1" x14ac:dyDescent="0.15"/>
    <row r="46" spans="1:39" ht="21" customHeight="1" x14ac:dyDescent="0.15"/>
    <row r="47" spans="1:39" ht="21" customHeight="1" x14ac:dyDescent="0.15"/>
    <row r="48" spans="1:39" ht="21" customHeight="1" x14ac:dyDescent="0.15"/>
    <row r="49" ht="21" customHeight="1" x14ac:dyDescent="0.15"/>
    <row r="50" ht="21" customHeight="1" x14ac:dyDescent="0.15"/>
    <row r="51" ht="21" customHeight="1" x14ac:dyDescent="0.15"/>
    <row r="52" ht="21" customHeight="1" x14ac:dyDescent="0.15"/>
    <row r="53" ht="21" customHeight="1" x14ac:dyDescent="0.15"/>
    <row r="54" ht="21" customHeight="1" x14ac:dyDescent="0.15"/>
    <row r="55" ht="21" customHeight="1" x14ac:dyDescent="0.15"/>
    <row r="56" ht="21" customHeight="1" x14ac:dyDescent="0.15"/>
    <row r="57" ht="21" customHeight="1" x14ac:dyDescent="0.15"/>
    <row r="58" ht="21" customHeight="1" x14ac:dyDescent="0.15"/>
    <row r="59" ht="21" customHeight="1" x14ac:dyDescent="0.15"/>
    <row r="60" ht="21" customHeight="1" x14ac:dyDescent="0.15"/>
    <row r="61" ht="21" customHeight="1" x14ac:dyDescent="0.15"/>
    <row r="62" ht="21" customHeight="1" x14ac:dyDescent="0.15"/>
    <row r="63" ht="21" customHeight="1" x14ac:dyDescent="0.15"/>
    <row r="64" ht="21" customHeight="1" x14ac:dyDescent="0.15"/>
    <row r="65" ht="21" customHeight="1" x14ac:dyDescent="0.15"/>
    <row r="66" ht="21" customHeight="1" x14ac:dyDescent="0.15"/>
    <row r="67" ht="21" customHeight="1" x14ac:dyDescent="0.15"/>
    <row r="68" ht="21" customHeight="1" x14ac:dyDescent="0.15"/>
    <row r="69" ht="21" customHeight="1" x14ac:dyDescent="0.15"/>
    <row r="70" ht="21" customHeight="1" x14ac:dyDescent="0.15"/>
    <row r="71" ht="21" customHeight="1" x14ac:dyDescent="0.15"/>
    <row r="72" ht="21" customHeight="1" x14ac:dyDescent="0.15"/>
    <row r="73" ht="21" customHeight="1" x14ac:dyDescent="0.15"/>
    <row r="74" ht="21" customHeight="1" x14ac:dyDescent="0.15"/>
    <row r="75" ht="21" customHeight="1" x14ac:dyDescent="0.15"/>
    <row r="76" ht="21" customHeight="1" x14ac:dyDescent="0.15"/>
    <row r="77" ht="21" customHeight="1" x14ac:dyDescent="0.15"/>
    <row r="78" ht="21" customHeight="1" x14ac:dyDescent="0.15"/>
    <row r="79" ht="21" customHeight="1" x14ac:dyDescent="0.15"/>
    <row r="80" ht="21" customHeight="1" x14ac:dyDescent="0.15"/>
    <row r="81" ht="21" customHeight="1" x14ac:dyDescent="0.15"/>
    <row r="82" ht="21" customHeight="1" x14ac:dyDescent="0.15"/>
    <row r="83" ht="21" customHeight="1" x14ac:dyDescent="0.15"/>
    <row r="84" ht="21" customHeight="1" x14ac:dyDescent="0.15"/>
    <row r="85" ht="21" customHeight="1" x14ac:dyDescent="0.15"/>
    <row r="86" ht="21" customHeight="1" x14ac:dyDescent="0.15"/>
    <row r="87" ht="21" customHeight="1" x14ac:dyDescent="0.15"/>
    <row r="88" ht="21" customHeight="1" x14ac:dyDescent="0.15"/>
    <row r="89" ht="21" customHeight="1" x14ac:dyDescent="0.15"/>
    <row r="90" ht="21" customHeight="1" x14ac:dyDescent="0.15"/>
    <row r="91" ht="21" customHeight="1" x14ac:dyDescent="0.15"/>
    <row r="92" ht="21" customHeight="1" x14ac:dyDescent="0.15"/>
    <row r="93" ht="21" customHeight="1" x14ac:dyDescent="0.15"/>
    <row r="94" ht="21" customHeight="1" x14ac:dyDescent="0.15"/>
    <row r="95" ht="21" customHeight="1" x14ac:dyDescent="0.15"/>
    <row r="96" ht="21" customHeight="1" x14ac:dyDescent="0.15"/>
    <row r="97" ht="21" customHeight="1" x14ac:dyDescent="0.15"/>
    <row r="98" ht="21" customHeight="1" x14ac:dyDescent="0.15"/>
    <row r="99" ht="21" customHeight="1" x14ac:dyDescent="0.15"/>
    <row r="100" ht="21" customHeight="1" x14ac:dyDescent="0.15"/>
    <row r="101" ht="21" customHeight="1" x14ac:dyDescent="0.15"/>
    <row r="102" ht="21" customHeight="1" x14ac:dyDescent="0.15"/>
    <row r="103" ht="21" customHeight="1" x14ac:dyDescent="0.15"/>
    <row r="104" ht="21" customHeight="1" x14ac:dyDescent="0.15"/>
    <row r="105" ht="21" customHeight="1" x14ac:dyDescent="0.15"/>
    <row r="106" ht="21" customHeight="1" x14ac:dyDescent="0.15"/>
    <row r="107" ht="21" customHeight="1" x14ac:dyDescent="0.15"/>
    <row r="108" ht="21" customHeight="1" x14ac:dyDescent="0.15"/>
    <row r="109" ht="21" customHeight="1" x14ac:dyDescent="0.15"/>
    <row r="110" ht="21" customHeight="1" x14ac:dyDescent="0.15"/>
    <row r="111" ht="21" customHeight="1" x14ac:dyDescent="0.15"/>
    <row r="112" ht="21" customHeight="1" x14ac:dyDescent="0.15"/>
    <row r="113" ht="21" customHeight="1" x14ac:dyDescent="0.15"/>
    <row r="114" ht="21" customHeight="1" x14ac:dyDescent="0.15"/>
    <row r="115" ht="21" customHeight="1" x14ac:dyDescent="0.15"/>
    <row r="116" ht="21" customHeight="1" x14ac:dyDescent="0.15"/>
    <row r="117" ht="21" customHeight="1" x14ac:dyDescent="0.15"/>
    <row r="118" ht="21" customHeight="1" x14ac:dyDescent="0.15"/>
    <row r="119" ht="21" customHeight="1" x14ac:dyDescent="0.15"/>
    <row r="120" ht="21" customHeight="1" x14ac:dyDescent="0.15"/>
    <row r="121" ht="21" customHeight="1" x14ac:dyDescent="0.15"/>
    <row r="122" ht="21" customHeight="1" x14ac:dyDescent="0.15"/>
    <row r="123" ht="21" customHeight="1" x14ac:dyDescent="0.15"/>
    <row r="124" ht="21" customHeight="1" x14ac:dyDescent="0.15"/>
    <row r="125" ht="21" customHeight="1" x14ac:dyDescent="0.15"/>
    <row r="126" ht="21" customHeight="1" x14ac:dyDescent="0.15"/>
    <row r="127" ht="21" customHeight="1" x14ac:dyDescent="0.15"/>
    <row r="128" ht="21" customHeight="1" x14ac:dyDescent="0.15"/>
    <row r="129" ht="21" customHeight="1" x14ac:dyDescent="0.15"/>
    <row r="130" ht="21" customHeight="1" x14ac:dyDescent="0.15"/>
    <row r="131" ht="21" customHeight="1" x14ac:dyDescent="0.15"/>
    <row r="132" ht="21" customHeight="1" x14ac:dyDescent="0.15"/>
    <row r="133" ht="21" customHeight="1" x14ac:dyDescent="0.15"/>
    <row r="134" ht="21" customHeight="1" x14ac:dyDescent="0.15"/>
    <row r="135" ht="21" customHeight="1" x14ac:dyDescent="0.15"/>
    <row r="136" ht="21" customHeight="1" x14ac:dyDescent="0.15"/>
    <row r="137" ht="21" customHeight="1" x14ac:dyDescent="0.15"/>
    <row r="138" ht="21" customHeight="1" x14ac:dyDescent="0.15"/>
    <row r="139" ht="21" customHeight="1" x14ac:dyDescent="0.15"/>
    <row r="140" ht="21" customHeight="1" x14ac:dyDescent="0.15"/>
    <row r="141" ht="21" customHeight="1" x14ac:dyDescent="0.15"/>
    <row r="142" ht="21" customHeight="1" x14ac:dyDescent="0.15"/>
    <row r="143" ht="21" customHeight="1" x14ac:dyDescent="0.15"/>
    <row r="144" ht="21" customHeight="1" x14ac:dyDescent="0.15"/>
    <row r="145" ht="21" customHeight="1" x14ac:dyDescent="0.15"/>
    <row r="146" ht="21" customHeight="1" x14ac:dyDescent="0.15"/>
    <row r="147" ht="21" customHeight="1" x14ac:dyDescent="0.15"/>
    <row r="148" ht="21" customHeight="1" x14ac:dyDescent="0.15"/>
    <row r="149" ht="21" customHeight="1" x14ac:dyDescent="0.15"/>
    <row r="150" ht="21" customHeight="1" x14ac:dyDescent="0.15"/>
    <row r="151" ht="21" customHeight="1" x14ac:dyDescent="0.15"/>
    <row r="152" ht="21" customHeight="1" x14ac:dyDescent="0.15"/>
    <row r="153" ht="21" customHeight="1" x14ac:dyDescent="0.15"/>
    <row r="154" ht="21" customHeight="1" x14ac:dyDescent="0.15"/>
    <row r="155" ht="21" customHeight="1" x14ac:dyDescent="0.15"/>
    <row r="156" ht="21" customHeight="1" x14ac:dyDescent="0.15"/>
    <row r="157" ht="21" customHeight="1" x14ac:dyDescent="0.15"/>
    <row r="158" ht="21" customHeight="1" x14ac:dyDescent="0.15"/>
    <row r="159" ht="21" customHeight="1" x14ac:dyDescent="0.15"/>
    <row r="160" ht="21" customHeight="1" x14ac:dyDescent="0.15"/>
    <row r="161" ht="21" customHeight="1" x14ac:dyDescent="0.15"/>
    <row r="162" ht="21" customHeight="1" x14ac:dyDescent="0.15"/>
    <row r="163" ht="21" customHeight="1" x14ac:dyDescent="0.15"/>
    <row r="164" ht="21" customHeight="1" x14ac:dyDescent="0.15"/>
    <row r="165" ht="21" customHeight="1" x14ac:dyDescent="0.15"/>
    <row r="166" ht="21" customHeight="1" x14ac:dyDescent="0.15"/>
    <row r="167" ht="21" customHeight="1" x14ac:dyDescent="0.15"/>
    <row r="168" ht="21" customHeight="1" x14ac:dyDescent="0.15"/>
    <row r="169" ht="21" customHeight="1" x14ac:dyDescent="0.15"/>
    <row r="170" ht="21" customHeight="1" x14ac:dyDescent="0.15"/>
    <row r="171" ht="21" customHeight="1" x14ac:dyDescent="0.15"/>
    <row r="172" ht="21" customHeight="1" x14ac:dyDescent="0.15"/>
    <row r="173" ht="21" customHeight="1" x14ac:dyDescent="0.15"/>
    <row r="174" ht="21" customHeight="1" x14ac:dyDescent="0.15"/>
    <row r="175" ht="21" customHeight="1" x14ac:dyDescent="0.15"/>
    <row r="176" ht="21" customHeight="1" x14ac:dyDescent="0.15"/>
    <row r="177" ht="21" customHeight="1" x14ac:dyDescent="0.15"/>
    <row r="178" ht="21" customHeight="1" x14ac:dyDescent="0.15"/>
    <row r="179" ht="21" customHeight="1" x14ac:dyDescent="0.15"/>
    <row r="180" ht="21" customHeight="1" x14ac:dyDescent="0.15"/>
    <row r="181" ht="21" customHeight="1" x14ac:dyDescent="0.15"/>
    <row r="182" ht="21" customHeight="1" x14ac:dyDescent="0.15"/>
    <row r="183" ht="21" customHeight="1" x14ac:dyDescent="0.15"/>
    <row r="184" ht="21" customHeight="1" x14ac:dyDescent="0.15"/>
    <row r="185" ht="21" customHeight="1" x14ac:dyDescent="0.15"/>
    <row r="186" ht="21" customHeight="1" x14ac:dyDescent="0.15"/>
    <row r="187" ht="21" customHeight="1" x14ac:dyDescent="0.15"/>
    <row r="188" ht="21" customHeight="1" x14ac:dyDescent="0.15"/>
    <row r="189" ht="21" customHeight="1" x14ac:dyDescent="0.15"/>
    <row r="190" ht="21" customHeight="1" x14ac:dyDescent="0.15"/>
    <row r="191" ht="21" customHeight="1" x14ac:dyDescent="0.15"/>
    <row r="192" ht="21" customHeight="1" x14ac:dyDescent="0.15"/>
    <row r="193" ht="21" customHeight="1" x14ac:dyDescent="0.15"/>
    <row r="194" ht="21" customHeight="1" x14ac:dyDescent="0.15"/>
    <row r="195" ht="21" customHeight="1" x14ac:dyDescent="0.15"/>
    <row r="196" ht="21" customHeight="1" x14ac:dyDescent="0.15"/>
    <row r="197" ht="21" customHeight="1" x14ac:dyDescent="0.15"/>
    <row r="198" ht="21" customHeight="1" x14ac:dyDescent="0.15"/>
    <row r="199" ht="21" customHeight="1" x14ac:dyDescent="0.15"/>
    <row r="200" ht="21" customHeight="1" x14ac:dyDescent="0.15"/>
    <row r="201" ht="21" customHeight="1" x14ac:dyDescent="0.15"/>
    <row r="202" ht="21" customHeight="1" x14ac:dyDescent="0.15"/>
    <row r="203" ht="21" customHeight="1" x14ac:dyDescent="0.15"/>
    <row r="204" ht="21" customHeight="1" x14ac:dyDescent="0.15"/>
    <row r="205" ht="21" customHeight="1" x14ac:dyDescent="0.15"/>
    <row r="206" ht="21" customHeight="1" x14ac:dyDescent="0.15"/>
    <row r="207" ht="21" customHeight="1" x14ac:dyDescent="0.15"/>
    <row r="208" ht="21" customHeight="1" x14ac:dyDescent="0.15"/>
    <row r="209" ht="21" customHeight="1" x14ac:dyDescent="0.15"/>
    <row r="210" ht="21" customHeight="1" x14ac:dyDescent="0.15"/>
    <row r="211" ht="21" customHeight="1" x14ac:dyDescent="0.15"/>
    <row r="212" ht="21" customHeight="1" x14ac:dyDescent="0.15"/>
    <row r="213" ht="21" customHeight="1" x14ac:dyDescent="0.15"/>
    <row r="214" ht="21" customHeight="1" x14ac:dyDescent="0.15"/>
    <row r="215" ht="21" customHeight="1" x14ac:dyDescent="0.15"/>
    <row r="216" ht="21" customHeight="1" x14ac:dyDescent="0.15"/>
    <row r="217" ht="21" customHeight="1" x14ac:dyDescent="0.15"/>
    <row r="218" ht="21" customHeight="1" x14ac:dyDescent="0.15"/>
    <row r="219" ht="21" customHeight="1" x14ac:dyDescent="0.15"/>
    <row r="220" ht="21" customHeight="1" x14ac:dyDescent="0.15"/>
    <row r="221" ht="21" customHeight="1" x14ac:dyDescent="0.15"/>
    <row r="222" ht="21" customHeight="1" x14ac:dyDescent="0.15"/>
    <row r="223" ht="21" customHeight="1" x14ac:dyDescent="0.15"/>
    <row r="224" ht="21" customHeight="1" x14ac:dyDescent="0.15"/>
    <row r="225" ht="21" customHeight="1" x14ac:dyDescent="0.15"/>
    <row r="226" ht="21" customHeight="1" x14ac:dyDescent="0.15"/>
    <row r="227" ht="21" customHeight="1" x14ac:dyDescent="0.15"/>
    <row r="228" ht="21" customHeight="1" x14ac:dyDescent="0.15"/>
    <row r="229" ht="21" customHeight="1" x14ac:dyDescent="0.15"/>
    <row r="230" ht="21" customHeight="1" x14ac:dyDescent="0.15"/>
    <row r="231" ht="21" customHeight="1" x14ac:dyDescent="0.15"/>
    <row r="232" ht="21" customHeight="1" x14ac:dyDescent="0.15"/>
    <row r="233" ht="21" customHeight="1" x14ac:dyDescent="0.15"/>
    <row r="234" ht="21" customHeight="1" x14ac:dyDescent="0.15"/>
    <row r="235" ht="21" customHeight="1" x14ac:dyDescent="0.15"/>
    <row r="236" ht="21" customHeight="1" x14ac:dyDescent="0.15"/>
    <row r="237" ht="21" customHeight="1" x14ac:dyDescent="0.15"/>
    <row r="238" ht="21" customHeight="1" x14ac:dyDescent="0.15"/>
    <row r="239" ht="21" customHeight="1" x14ac:dyDescent="0.15"/>
    <row r="240" ht="21" customHeight="1" x14ac:dyDescent="0.15"/>
    <row r="241" ht="21" customHeight="1" x14ac:dyDescent="0.15"/>
    <row r="242" ht="21" customHeight="1" x14ac:dyDescent="0.15"/>
    <row r="243" ht="21" customHeight="1" x14ac:dyDescent="0.15"/>
    <row r="244" ht="21" customHeight="1" x14ac:dyDescent="0.15"/>
    <row r="245" ht="21" customHeight="1" x14ac:dyDescent="0.15"/>
    <row r="246" ht="21" customHeight="1" x14ac:dyDescent="0.15"/>
    <row r="247" ht="21" customHeight="1" x14ac:dyDescent="0.15"/>
    <row r="248" ht="21" customHeight="1" x14ac:dyDescent="0.15"/>
    <row r="249" ht="21" customHeight="1" x14ac:dyDescent="0.15"/>
    <row r="250" ht="21" customHeight="1" x14ac:dyDescent="0.15"/>
    <row r="251" ht="21" customHeight="1" x14ac:dyDescent="0.15"/>
    <row r="252" ht="21" customHeight="1" x14ac:dyDescent="0.15"/>
    <row r="253" ht="21" customHeight="1" x14ac:dyDescent="0.15"/>
    <row r="254" ht="21" customHeight="1" x14ac:dyDescent="0.15"/>
    <row r="255" ht="21" customHeight="1" x14ac:dyDescent="0.15"/>
    <row r="256" ht="21" customHeight="1" x14ac:dyDescent="0.15"/>
    <row r="257" ht="21" customHeight="1" x14ac:dyDescent="0.15"/>
    <row r="258" ht="21" customHeight="1" x14ac:dyDescent="0.15"/>
    <row r="259" ht="21" customHeight="1" x14ac:dyDescent="0.15"/>
    <row r="260" ht="21" customHeight="1" x14ac:dyDescent="0.15"/>
    <row r="261" ht="21" customHeight="1" x14ac:dyDescent="0.15"/>
    <row r="262" ht="21" customHeight="1" x14ac:dyDescent="0.15"/>
    <row r="263" ht="21" customHeight="1" x14ac:dyDescent="0.15"/>
    <row r="264" ht="21" customHeight="1" x14ac:dyDescent="0.15"/>
    <row r="265" ht="21" customHeight="1" x14ac:dyDescent="0.15"/>
    <row r="266" ht="21" customHeight="1" x14ac:dyDescent="0.15"/>
    <row r="267" ht="21" customHeight="1" x14ac:dyDescent="0.15"/>
    <row r="268" ht="21" customHeight="1" x14ac:dyDescent="0.15"/>
    <row r="269" ht="21" customHeight="1" x14ac:dyDescent="0.15"/>
    <row r="270" ht="21" customHeight="1" x14ac:dyDescent="0.15"/>
    <row r="271" ht="21" customHeight="1" x14ac:dyDescent="0.15"/>
    <row r="272" ht="21" customHeight="1" x14ac:dyDescent="0.15"/>
    <row r="273" ht="21" customHeight="1" x14ac:dyDescent="0.15"/>
    <row r="274" ht="21" customHeight="1" x14ac:dyDescent="0.15"/>
    <row r="275" ht="21" customHeight="1" x14ac:dyDescent="0.15"/>
    <row r="276" ht="21" customHeight="1" x14ac:dyDescent="0.15"/>
    <row r="277" ht="21" customHeight="1" x14ac:dyDescent="0.15"/>
    <row r="278" ht="21" customHeight="1" x14ac:dyDescent="0.15"/>
    <row r="279" ht="21" customHeight="1" x14ac:dyDescent="0.15"/>
    <row r="280" ht="21" customHeight="1" x14ac:dyDescent="0.15"/>
    <row r="281" ht="21" customHeight="1" x14ac:dyDescent="0.15"/>
    <row r="282" ht="21" customHeight="1" x14ac:dyDescent="0.15"/>
    <row r="283" ht="21" customHeight="1" x14ac:dyDescent="0.15"/>
    <row r="284" ht="21" customHeight="1" x14ac:dyDescent="0.15"/>
    <row r="285" ht="21" customHeight="1" x14ac:dyDescent="0.15"/>
    <row r="286" ht="21" customHeight="1" x14ac:dyDescent="0.15"/>
    <row r="287" ht="21" customHeight="1" x14ac:dyDescent="0.15"/>
    <row r="288" ht="21" customHeight="1" x14ac:dyDescent="0.15"/>
    <row r="289" ht="21" customHeight="1" x14ac:dyDescent="0.15"/>
    <row r="290" ht="21" customHeight="1" x14ac:dyDescent="0.15"/>
    <row r="291" ht="21" customHeight="1" x14ac:dyDescent="0.15"/>
    <row r="292" ht="21" customHeight="1" x14ac:dyDescent="0.15"/>
    <row r="293" ht="21" customHeight="1" x14ac:dyDescent="0.15"/>
    <row r="294" ht="21" customHeight="1" x14ac:dyDescent="0.15"/>
    <row r="295" ht="21" customHeight="1" x14ac:dyDescent="0.15"/>
    <row r="296" ht="21" customHeight="1" x14ac:dyDescent="0.15"/>
    <row r="297" ht="21" customHeight="1" x14ac:dyDescent="0.15"/>
    <row r="298" ht="21" customHeight="1" x14ac:dyDescent="0.15"/>
    <row r="299" ht="21" customHeight="1" x14ac:dyDescent="0.15"/>
    <row r="300" ht="21" customHeight="1" x14ac:dyDescent="0.15"/>
    <row r="301" ht="21" customHeight="1" x14ac:dyDescent="0.15"/>
    <row r="302" ht="21" customHeight="1" x14ac:dyDescent="0.15"/>
    <row r="303" ht="21" customHeight="1" x14ac:dyDescent="0.15"/>
    <row r="304" ht="21" customHeight="1" x14ac:dyDescent="0.15"/>
    <row r="305" ht="21" customHeight="1" x14ac:dyDescent="0.15"/>
    <row r="306" ht="21" customHeight="1" x14ac:dyDescent="0.15"/>
    <row r="307" ht="21" customHeight="1" x14ac:dyDescent="0.15"/>
    <row r="308" ht="21" customHeight="1" x14ac:dyDescent="0.15"/>
    <row r="309" ht="21" customHeight="1" x14ac:dyDescent="0.15"/>
    <row r="310" ht="21" customHeight="1" x14ac:dyDescent="0.15"/>
    <row r="311" ht="21" customHeight="1" x14ac:dyDescent="0.15"/>
    <row r="312" ht="21" customHeight="1" x14ac:dyDescent="0.15"/>
    <row r="313" ht="21" customHeight="1" x14ac:dyDescent="0.15"/>
    <row r="314" ht="21" customHeight="1" x14ac:dyDescent="0.15"/>
    <row r="315" ht="21" customHeight="1" x14ac:dyDescent="0.15"/>
    <row r="316" ht="21" customHeight="1" x14ac:dyDescent="0.15"/>
    <row r="317" ht="21" customHeight="1" x14ac:dyDescent="0.15"/>
    <row r="318" ht="21" customHeight="1" x14ac:dyDescent="0.15"/>
    <row r="319" ht="21" customHeight="1" x14ac:dyDescent="0.15"/>
    <row r="320" ht="21" customHeight="1" x14ac:dyDescent="0.15"/>
    <row r="321" ht="21" customHeight="1" x14ac:dyDescent="0.15"/>
    <row r="322" ht="21" customHeight="1" x14ac:dyDescent="0.15"/>
    <row r="323" ht="21" customHeight="1" x14ac:dyDescent="0.15"/>
    <row r="324" ht="21" customHeight="1" x14ac:dyDescent="0.15"/>
    <row r="325" ht="21" customHeight="1" x14ac:dyDescent="0.15"/>
    <row r="326" ht="21" customHeight="1" x14ac:dyDescent="0.15"/>
    <row r="327" ht="21" customHeight="1" x14ac:dyDescent="0.15"/>
    <row r="328" ht="21" customHeight="1" x14ac:dyDescent="0.15"/>
    <row r="329" ht="21" customHeight="1" x14ac:dyDescent="0.15"/>
    <row r="330" ht="21" customHeight="1" x14ac:dyDescent="0.15"/>
    <row r="331" ht="21" customHeight="1" x14ac:dyDescent="0.15"/>
    <row r="332" ht="21" customHeight="1" x14ac:dyDescent="0.15"/>
    <row r="333" ht="21" customHeight="1" x14ac:dyDescent="0.15"/>
    <row r="334" ht="21" customHeight="1" x14ac:dyDescent="0.15"/>
    <row r="335" ht="21" customHeight="1" x14ac:dyDescent="0.15"/>
    <row r="336" ht="21" customHeight="1" x14ac:dyDescent="0.15"/>
    <row r="337" ht="21" customHeight="1" x14ac:dyDescent="0.15"/>
    <row r="338" ht="21" customHeight="1" x14ac:dyDescent="0.15"/>
    <row r="339" ht="21" customHeight="1" x14ac:dyDescent="0.15"/>
    <row r="340" ht="21" customHeight="1" x14ac:dyDescent="0.15"/>
    <row r="341" ht="21" customHeight="1" x14ac:dyDescent="0.15"/>
    <row r="342" ht="21" customHeight="1" x14ac:dyDescent="0.15"/>
    <row r="343" ht="21" customHeight="1" x14ac:dyDescent="0.15"/>
    <row r="344" ht="21" customHeight="1" x14ac:dyDescent="0.15"/>
    <row r="345" ht="21" customHeight="1" x14ac:dyDescent="0.15"/>
    <row r="346" ht="21" customHeight="1" x14ac:dyDescent="0.15"/>
    <row r="347" ht="21" customHeight="1" x14ac:dyDescent="0.15"/>
    <row r="348" ht="21" customHeight="1" x14ac:dyDescent="0.15"/>
    <row r="349" ht="21" customHeight="1" x14ac:dyDescent="0.15"/>
    <row r="350" ht="21" customHeight="1" x14ac:dyDescent="0.15"/>
    <row r="351" ht="21" customHeight="1" x14ac:dyDescent="0.15"/>
    <row r="352" ht="21" customHeight="1" x14ac:dyDescent="0.15"/>
    <row r="353" ht="21" customHeight="1" x14ac:dyDescent="0.15"/>
    <row r="354" ht="21" customHeight="1" x14ac:dyDescent="0.15"/>
    <row r="355" ht="21" customHeight="1" x14ac:dyDescent="0.15"/>
    <row r="356" ht="21" customHeight="1" x14ac:dyDescent="0.15"/>
    <row r="357" ht="21" customHeight="1" x14ac:dyDescent="0.15"/>
    <row r="358" ht="21" customHeight="1" x14ac:dyDescent="0.15"/>
    <row r="359" ht="21" customHeight="1" x14ac:dyDescent="0.15"/>
    <row r="360" ht="21" customHeight="1" x14ac:dyDescent="0.15"/>
    <row r="361" ht="21" customHeight="1" x14ac:dyDescent="0.15"/>
    <row r="362" ht="21" customHeight="1" x14ac:dyDescent="0.15"/>
    <row r="363" ht="21" customHeight="1" x14ac:dyDescent="0.15"/>
    <row r="364" ht="21" customHeight="1" x14ac:dyDescent="0.15"/>
    <row r="365" ht="21" customHeight="1" x14ac:dyDescent="0.15"/>
    <row r="366" ht="21" customHeight="1" x14ac:dyDescent="0.15"/>
    <row r="367" ht="21" customHeight="1" x14ac:dyDescent="0.15"/>
    <row r="368" ht="21" customHeight="1" x14ac:dyDescent="0.15"/>
    <row r="369" ht="21" customHeight="1" x14ac:dyDescent="0.15"/>
    <row r="370" ht="21" customHeight="1" x14ac:dyDescent="0.15"/>
    <row r="371" ht="21" customHeight="1" x14ac:dyDescent="0.15"/>
    <row r="372" ht="21" customHeight="1" x14ac:dyDescent="0.15"/>
    <row r="373" ht="21" customHeight="1" x14ac:dyDescent="0.15"/>
    <row r="374" ht="21" customHeight="1" x14ac:dyDescent="0.15"/>
    <row r="375" ht="21" customHeight="1" x14ac:dyDescent="0.15"/>
    <row r="376" ht="21" customHeight="1" x14ac:dyDescent="0.15"/>
    <row r="377" ht="21" customHeight="1" x14ac:dyDescent="0.15"/>
    <row r="378" ht="21" customHeight="1" x14ac:dyDescent="0.15"/>
    <row r="379" ht="21" customHeight="1" x14ac:dyDescent="0.15"/>
    <row r="380" ht="21" customHeight="1" x14ac:dyDescent="0.15"/>
    <row r="381" ht="21" customHeight="1" x14ac:dyDescent="0.15"/>
    <row r="382" ht="21" customHeight="1" x14ac:dyDescent="0.15"/>
    <row r="383" ht="21" customHeight="1" x14ac:dyDescent="0.15"/>
    <row r="384" ht="21" customHeight="1" x14ac:dyDescent="0.15"/>
    <row r="385" ht="21" customHeight="1" x14ac:dyDescent="0.15"/>
    <row r="386" ht="21" customHeight="1" x14ac:dyDescent="0.15"/>
    <row r="387" ht="21" customHeight="1" x14ac:dyDescent="0.15"/>
    <row r="388" ht="21" customHeight="1" x14ac:dyDescent="0.15"/>
    <row r="389" ht="21" customHeight="1" x14ac:dyDescent="0.15"/>
    <row r="390" ht="21" customHeight="1" x14ac:dyDescent="0.15"/>
    <row r="391" ht="21" customHeight="1" x14ac:dyDescent="0.15"/>
    <row r="392" ht="21" customHeight="1" x14ac:dyDescent="0.15"/>
    <row r="393" ht="21" customHeight="1" x14ac:dyDescent="0.15"/>
    <row r="394" ht="21" customHeight="1" x14ac:dyDescent="0.15"/>
    <row r="395" ht="21" customHeight="1" x14ac:dyDescent="0.15"/>
    <row r="396" ht="21" customHeight="1" x14ac:dyDescent="0.15"/>
    <row r="397" ht="21" customHeight="1" x14ac:dyDescent="0.15"/>
    <row r="398" ht="21" customHeight="1" x14ac:dyDescent="0.15"/>
    <row r="399" ht="21" customHeight="1" x14ac:dyDescent="0.15"/>
    <row r="400" ht="21" customHeight="1" x14ac:dyDescent="0.15"/>
    <row r="401" ht="21" customHeight="1" x14ac:dyDescent="0.15"/>
    <row r="402" ht="21" customHeight="1" x14ac:dyDescent="0.15"/>
    <row r="403" ht="21" customHeight="1" x14ac:dyDescent="0.15"/>
    <row r="404" ht="21" customHeight="1" x14ac:dyDescent="0.15"/>
    <row r="405" ht="21" customHeight="1" x14ac:dyDescent="0.15"/>
    <row r="406" ht="21" customHeight="1" x14ac:dyDescent="0.15"/>
    <row r="407" ht="21" customHeight="1" x14ac:dyDescent="0.15"/>
    <row r="408" ht="21" customHeight="1" x14ac:dyDescent="0.15"/>
    <row r="409" ht="21" customHeight="1" x14ac:dyDescent="0.15"/>
    <row r="410" ht="21" customHeight="1" x14ac:dyDescent="0.15"/>
    <row r="411" ht="21" customHeight="1" x14ac:dyDescent="0.15"/>
    <row r="412" ht="21" customHeight="1" x14ac:dyDescent="0.15"/>
    <row r="413" ht="21" customHeight="1" x14ac:dyDescent="0.15"/>
    <row r="414" ht="21" customHeight="1" x14ac:dyDescent="0.15"/>
    <row r="415" ht="21" customHeight="1" x14ac:dyDescent="0.15"/>
    <row r="416" ht="21" customHeight="1" x14ac:dyDescent="0.15"/>
    <row r="417" ht="21" customHeight="1" x14ac:dyDescent="0.15"/>
    <row r="418" ht="21" customHeight="1" x14ac:dyDescent="0.15"/>
    <row r="419" ht="21" customHeight="1" x14ac:dyDescent="0.15"/>
    <row r="420" ht="21" customHeight="1" x14ac:dyDescent="0.15"/>
    <row r="421" ht="21" customHeight="1" x14ac:dyDescent="0.15"/>
    <row r="422" ht="21" customHeight="1" x14ac:dyDescent="0.15"/>
    <row r="423" ht="21" customHeight="1" x14ac:dyDescent="0.15"/>
    <row r="424" ht="21" customHeight="1" x14ac:dyDescent="0.15"/>
    <row r="425" ht="21" customHeight="1" x14ac:dyDescent="0.15"/>
    <row r="426" ht="21" customHeight="1" x14ac:dyDescent="0.15"/>
    <row r="427" ht="21" customHeight="1" x14ac:dyDescent="0.15"/>
    <row r="428" ht="21" customHeight="1" x14ac:dyDescent="0.15"/>
    <row r="429" ht="21" customHeight="1" x14ac:dyDescent="0.15"/>
    <row r="430" ht="21" customHeight="1" x14ac:dyDescent="0.15"/>
    <row r="431" ht="21" customHeight="1" x14ac:dyDescent="0.15"/>
    <row r="432" ht="21" customHeight="1" x14ac:dyDescent="0.15"/>
    <row r="433" ht="21" customHeight="1" x14ac:dyDescent="0.15"/>
    <row r="434" ht="21" customHeight="1" x14ac:dyDescent="0.15"/>
    <row r="435" ht="21" customHeight="1" x14ac:dyDescent="0.15"/>
    <row r="436" ht="21" customHeight="1" x14ac:dyDescent="0.15"/>
    <row r="437" ht="21" customHeight="1" x14ac:dyDescent="0.15"/>
    <row r="438" ht="21" customHeight="1" x14ac:dyDescent="0.15"/>
    <row r="439" ht="21" customHeight="1" x14ac:dyDescent="0.15"/>
    <row r="440" ht="21" customHeight="1" x14ac:dyDescent="0.15"/>
    <row r="441" ht="21" customHeight="1" x14ac:dyDescent="0.15"/>
    <row r="442" ht="21" customHeight="1" x14ac:dyDescent="0.15"/>
    <row r="443" ht="21" customHeight="1" x14ac:dyDescent="0.15"/>
    <row r="444" ht="21" customHeight="1" x14ac:dyDescent="0.15"/>
    <row r="445" ht="21" customHeight="1" x14ac:dyDescent="0.15"/>
    <row r="446" ht="21" customHeight="1" x14ac:dyDescent="0.15"/>
    <row r="447" ht="21" customHeight="1" x14ac:dyDescent="0.15"/>
    <row r="448" ht="21" customHeight="1" x14ac:dyDescent="0.15"/>
    <row r="449" ht="21" customHeight="1" x14ac:dyDescent="0.15"/>
    <row r="450" ht="21" customHeight="1" x14ac:dyDescent="0.15"/>
    <row r="451" ht="21" customHeight="1" x14ac:dyDescent="0.15"/>
    <row r="452" ht="21" customHeight="1" x14ac:dyDescent="0.15"/>
    <row r="453" ht="21" customHeight="1" x14ac:dyDescent="0.15"/>
    <row r="454" ht="21" customHeight="1" x14ac:dyDescent="0.15"/>
    <row r="455" ht="21" customHeight="1" x14ac:dyDescent="0.15"/>
    <row r="456" ht="21" customHeight="1" x14ac:dyDescent="0.15"/>
    <row r="457" ht="21" customHeight="1" x14ac:dyDescent="0.15"/>
    <row r="458" ht="21" customHeight="1" x14ac:dyDescent="0.15"/>
    <row r="459" ht="21" customHeight="1" x14ac:dyDescent="0.15"/>
    <row r="460" ht="21" customHeight="1" x14ac:dyDescent="0.15"/>
    <row r="461" ht="21" customHeight="1" x14ac:dyDescent="0.15"/>
    <row r="462" ht="21" customHeight="1" x14ac:dyDescent="0.15"/>
    <row r="463" ht="21" customHeight="1" x14ac:dyDescent="0.15"/>
    <row r="464" ht="21" customHeight="1" x14ac:dyDescent="0.15"/>
    <row r="465" ht="21" customHeight="1" x14ac:dyDescent="0.15"/>
    <row r="466" ht="21" customHeight="1" x14ac:dyDescent="0.15"/>
    <row r="467" ht="21" customHeight="1" x14ac:dyDescent="0.15"/>
    <row r="468" ht="21" customHeight="1" x14ac:dyDescent="0.15"/>
    <row r="469" ht="21" customHeight="1" x14ac:dyDescent="0.15"/>
    <row r="470" ht="21" customHeight="1" x14ac:dyDescent="0.15"/>
    <row r="471" ht="21" customHeight="1" x14ac:dyDescent="0.15"/>
    <row r="472" ht="21" customHeight="1" x14ac:dyDescent="0.15"/>
    <row r="473" ht="21" customHeight="1" x14ac:dyDescent="0.15"/>
    <row r="474" ht="21" customHeight="1" x14ac:dyDescent="0.15"/>
    <row r="475" ht="21" customHeight="1" x14ac:dyDescent="0.15"/>
    <row r="476" ht="21" customHeight="1" x14ac:dyDescent="0.15"/>
    <row r="477" ht="21" customHeight="1" x14ac:dyDescent="0.15"/>
    <row r="478" ht="21" customHeight="1" x14ac:dyDescent="0.15"/>
    <row r="479" ht="21" customHeight="1" x14ac:dyDescent="0.15"/>
    <row r="480" ht="21" customHeight="1" x14ac:dyDescent="0.15"/>
    <row r="481" ht="21" customHeight="1" x14ac:dyDescent="0.15"/>
    <row r="482" ht="21" customHeight="1" x14ac:dyDescent="0.15"/>
    <row r="483" ht="21" customHeight="1" x14ac:dyDescent="0.15"/>
    <row r="484" ht="21" customHeight="1" x14ac:dyDescent="0.15"/>
    <row r="485" ht="21" customHeight="1" x14ac:dyDescent="0.15"/>
    <row r="486" ht="21" customHeight="1" x14ac:dyDescent="0.15"/>
    <row r="487" ht="21" customHeight="1" x14ac:dyDescent="0.15"/>
    <row r="488" ht="21" customHeight="1" x14ac:dyDescent="0.15"/>
    <row r="489" ht="21" customHeight="1" x14ac:dyDescent="0.15"/>
    <row r="490" ht="21" customHeight="1" x14ac:dyDescent="0.15"/>
    <row r="491" ht="21" customHeight="1" x14ac:dyDescent="0.15"/>
    <row r="492" ht="21" customHeight="1" x14ac:dyDescent="0.15"/>
    <row r="493" ht="21" customHeight="1" x14ac:dyDescent="0.15"/>
    <row r="494" ht="21" customHeight="1" x14ac:dyDescent="0.15"/>
    <row r="495" ht="21" customHeight="1" x14ac:dyDescent="0.15"/>
    <row r="496" ht="21" customHeight="1" x14ac:dyDescent="0.15"/>
    <row r="497" ht="21" customHeight="1" x14ac:dyDescent="0.15"/>
    <row r="498" ht="21" customHeight="1" x14ac:dyDescent="0.15"/>
    <row r="499" ht="21" customHeight="1" x14ac:dyDescent="0.15"/>
    <row r="500" ht="21" customHeight="1" x14ac:dyDescent="0.15"/>
    <row r="501" ht="21" customHeight="1" x14ac:dyDescent="0.15"/>
    <row r="502" ht="21" customHeight="1" x14ac:dyDescent="0.15"/>
    <row r="503" ht="21" customHeight="1" x14ac:dyDescent="0.15"/>
    <row r="504" ht="21" customHeight="1" x14ac:dyDescent="0.15"/>
    <row r="505" ht="21" customHeight="1" x14ac:dyDescent="0.15"/>
    <row r="506" ht="21" customHeight="1" x14ac:dyDescent="0.15"/>
    <row r="507" ht="21" customHeight="1" x14ac:dyDescent="0.15"/>
    <row r="508" ht="21" customHeight="1" x14ac:dyDescent="0.15"/>
    <row r="509" ht="21" customHeight="1" x14ac:dyDescent="0.15"/>
    <row r="510" ht="21" customHeight="1" x14ac:dyDescent="0.15"/>
    <row r="511" ht="21" customHeight="1" x14ac:dyDescent="0.15"/>
    <row r="512" ht="21" customHeight="1" x14ac:dyDescent="0.15"/>
    <row r="513" ht="21" customHeight="1" x14ac:dyDescent="0.15"/>
    <row r="514" ht="21" customHeight="1" x14ac:dyDescent="0.15"/>
    <row r="515" ht="21" customHeight="1" x14ac:dyDescent="0.15"/>
    <row r="516" ht="21" customHeight="1" x14ac:dyDescent="0.15"/>
    <row r="517" ht="21" customHeight="1" x14ac:dyDescent="0.15"/>
    <row r="518" ht="21" customHeight="1" x14ac:dyDescent="0.15"/>
    <row r="519" ht="21" customHeight="1" x14ac:dyDescent="0.15"/>
    <row r="520" ht="21" customHeight="1" x14ac:dyDescent="0.15"/>
    <row r="521" ht="21" customHeight="1" x14ac:dyDescent="0.15"/>
    <row r="522" ht="21" customHeight="1" x14ac:dyDescent="0.15"/>
    <row r="523" ht="21" customHeight="1" x14ac:dyDescent="0.15"/>
    <row r="524" ht="21" customHeight="1" x14ac:dyDescent="0.15"/>
    <row r="525" ht="21" customHeight="1" x14ac:dyDescent="0.15"/>
    <row r="526" ht="21" customHeight="1" x14ac:dyDescent="0.15"/>
    <row r="527" ht="21" customHeight="1" x14ac:dyDescent="0.15"/>
    <row r="528" ht="21" customHeight="1" x14ac:dyDescent="0.15"/>
    <row r="529" ht="21" customHeight="1" x14ac:dyDescent="0.15"/>
    <row r="530" ht="21" customHeight="1" x14ac:dyDescent="0.15"/>
    <row r="531" ht="21" customHeight="1" x14ac:dyDescent="0.15"/>
    <row r="532" ht="21" customHeight="1" x14ac:dyDescent="0.15"/>
    <row r="533" ht="21" customHeight="1" x14ac:dyDescent="0.15"/>
    <row r="534" ht="21" customHeight="1" x14ac:dyDescent="0.15"/>
    <row r="535" ht="21" customHeight="1" x14ac:dyDescent="0.15"/>
    <row r="536" ht="21" customHeight="1" x14ac:dyDescent="0.15"/>
    <row r="537" ht="21" customHeight="1" x14ac:dyDescent="0.15"/>
    <row r="538" ht="21" customHeight="1" x14ac:dyDescent="0.15"/>
    <row r="539" ht="21" customHeight="1" x14ac:dyDescent="0.15"/>
    <row r="540" ht="21" customHeight="1" x14ac:dyDescent="0.15"/>
    <row r="541" ht="21" customHeight="1" x14ac:dyDescent="0.15"/>
    <row r="542" ht="21" customHeight="1" x14ac:dyDescent="0.15"/>
    <row r="543" ht="21" customHeight="1" x14ac:dyDescent="0.15"/>
    <row r="544" ht="21" customHeight="1" x14ac:dyDescent="0.15"/>
    <row r="545" ht="21" customHeight="1" x14ac:dyDescent="0.15"/>
    <row r="546" ht="21" customHeight="1" x14ac:dyDescent="0.15"/>
    <row r="547" ht="21" customHeight="1" x14ac:dyDescent="0.15"/>
    <row r="548" ht="21" customHeight="1" x14ac:dyDescent="0.15"/>
    <row r="549" ht="21" customHeight="1" x14ac:dyDescent="0.15"/>
    <row r="550" ht="21" customHeight="1" x14ac:dyDescent="0.15"/>
    <row r="551" ht="21" customHeight="1" x14ac:dyDescent="0.15"/>
    <row r="552" ht="21" customHeight="1" x14ac:dyDescent="0.15"/>
    <row r="553" ht="21" customHeight="1" x14ac:dyDescent="0.15"/>
    <row r="554" ht="21" customHeight="1" x14ac:dyDescent="0.15"/>
    <row r="555" ht="21" customHeight="1" x14ac:dyDescent="0.15"/>
    <row r="556" ht="21" customHeight="1" x14ac:dyDescent="0.15"/>
    <row r="557" ht="21" customHeight="1" x14ac:dyDescent="0.15"/>
    <row r="558" ht="21" customHeight="1" x14ac:dyDescent="0.15"/>
    <row r="559" ht="21" customHeight="1" x14ac:dyDescent="0.15"/>
    <row r="560" ht="21" customHeight="1" x14ac:dyDescent="0.15"/>
    <row r="561" ht="21" customHeight="1" x14ac:dyDescent="0.15"/>
    <row r="562" ht="21" customHeight="1" x14ac:dyDescent="0.15"/>
    <row r="563" ht="21" customHeight="1" x14ac:dyDescent="0.15"/>
    <row r="564" ht="21" customHeight="1" x14ac:dyDescent="0.15"/>
    <row r="565" ht="21" customHeight="1" x14ac:dyDescent="0.15"/>
    <row r="566" ht="21" customHeight="1" x14ac:dyDescent="0.15"/>
    <row r="567" ht="21" customHeight="1" x14ac:dyDescent="0.15"/>
    <row r="568" ht="21" customHeight="1" x14ac:dyDescent="0.15"/>
    <row r="569" ht="21" customHeight="1" x14ac:dyDescent="0.15"/>
    <row r="570" ht="21" customHeight="1" x14ac:dyDescent="0.15"/>
    <row r="571" ht="21" customHeight="1" x14ac:dyDescent="0.15"/>
    <row r="572" ht="21" customHeight="1" x14ac:dyDescent="0.15"/>
    <row r="573" ht="21" customHeight="1" x14ac:dyDescent="0.15"/>
    <row r="574" ht="21" customHeight="1" x14ac:dyDescent="0.15"/>
    <row r="575" ht="21" customHeight="1" x14ac:dyDescent="0.15"/>
    <row r="576" ht="21" customHeight="1" x14ac:dyDescent="0.15"/>
    <row r="577" ht="21" customHeight="1" x14ac:dyDescent="0.15"/>
    <row r="578" ht="21" customHeight="1" x14ac:dyDescent="0.15"/>
    <row r="579" ht="21" customHeight="1" x14ac:dyDescent="0.15"/>
    <row r="580" ht="21" customHeight="1" x14ac:dyDescent="0.15"/>
    <row r="581" ht="21" customHeight="1" x14ac:dyDescent="0.15"/>
    <row r="582" ht="21" customHeight="1" x14ac:dyDescent="0.15"/>
    <row r="583" ht="21" customHeight="1" x14ac:dyDescent="0.15"/>
    <row r="584" ht="21" customHeight="1" x14ac:dyDescent="0.15"/>
    <row r="585" ht="21" customHeight="1" x14ac:dyDescent="0.15"/>
    <row r="586" ht="21" customHeight="1" x14ac:dyDescent="0.15"/>
    <row r="587" ht="21" customHeight="1" x14ac:dyDescent="0.15"/>
    <row r="588" ht="21" customHeight="1" x14ac:dyDescent="0.15"/>
    <row r="589" ht="21" customHeight="1" x14ac:dyDescent="0.15"/>
    <row r="590" ht="21" customHeight="1" x14ac:dyDescent="0.15"/>
    <row r="591" ht="21" customHeight="1" x14ac:dyDescent="0.15"/>
    <row r="592" ht="21" customHeight="1" x14ac:dyDescent="0.15"/>
    <row r="593" ht="21" customHeight="1" x14ac:dyDescent="0.15"/>
    <row r="594" ht="21" customHeight="1" x14ac:dyDescent="0.15"/>
    <row r="595" ht="21" customHeight="1" x14ac:dyDescent="0.15"/>
    <row r="596" ht="21" customHeight="1" x14ac:dyDescent="0.15"/>
    <row r="597" ht="21" customHeight="1" x14ac:dyDescent="0.15"/>
    <row r="598" ht="21" customHeight="1" x14ac:dyDescent="0.15"/>
    <row r="599" ht="21" customHeight="1" x14ac:dyDescent="0.15"/>
    <row r="600" ht="21" customHeight="1" x14ac:dyDescent="0.15"/>
    <row r="601" ht="21" customHeight="1" x14ac:dyDescent="0.15"/>
    <row r="602" ht="21" customHeight="1" x14ac:dyDescent="0.15"/>
    <row r="603" ht="21" customHeight="1" x14ac:dyDescent="0.15"/>
    <row r="604" ht="21" customHeight="1" x14ac:dyDescent="0.15"/>
    <row r="605" ht="21" customHeight="1" x14ac:dyDescent="0.15"/>
    <row r="606" ht="21" customHeight="1" x14ac:dyDescent="0.15"/>
    <row r="607" ht="21" customHeight="1" x14ac:dyDescent="0.15"/>
    <row r="608" ht="21" customHeight="1" x14ac:dyDescent="0.15"/>
    <row r="609" ht="21" customHeight="1" x14ac:dyDescent="0.15"/>
    <row r="610" ht="21" customHeight="1" x14ac:dyDescent="0.15"/>
    <row r="611" ht="21" customHeight="1" x14ac:dyDescent="0.15"/>
    <row r="612" ht="21" customHeight="1" x14ac:dyDescent="0.15"/>
    <row r="613" ht="21" customHeight="1" x14ac:dyDescent="0.15"/>
    <row r="614" ht="21" customHeight="1" x14ac:dyDescent="0.15"/>
    <row r="615" ht="21" customHeight="1" x14ac:dyDescent="0.15"/>
    <row r="616" ht="21" customHeight="1" x14ac:dyDescent="0.15"/>
    <row r="617" ht="21" customHeight="1" x14ac:dyDescent="0.15"/>
    <row r="618" ht="21" customHeight="1" x14ac:dyDescent="0.15"/>
    <row r="619" ht="21" customHeight="1" x14ac:dyDescent="0.15"/>
    <row r="620" ht="21" customHeight="1" x14ac:dyDescent="0.15"/>
    <row r="621" ht="21" customHeight="1" x14ac:dyDescent="0.15"/>
    <row r="622" ht="21" customHeight="1" x14ac:dyDescent="0.15"/>
    <row r="623" ht="21" customHeight="1" x14ac:dyDescent="0.15"/>
    <row r="624" ht="21" customHeight="1" x14ac:dyDescent="0.15"/>
    <row r="625" ht="21" customHeight="1" x14ac:dyDescent="0.15"/>
    <row r="626" ht="21" customHeight="1" x14ac:dyDescent="0.15"/>
    <row r="627" ht="21" customHeight="1" x14ac:dyDescent="0.15"/>
    <row r="628" ht="21" customHeight="1" x14ac:dyDescent="0.15"/>
    <row r="629" ht="21" customHeight="1" x14ac:dyDescent="0.15"/>
    <row r="630" ht="21" customHeight="1" x14ac:dyDescent="0.15"/>
    <row r="631" ht="21" customHeight="1" x14ac:dyDescent="0.15"/>
    <row r="632" ht="21" customHeight="1" x14ac:dyDescent="0.15"/>
    <row r="633" ht="21" customHeight="1" x14ac:dyDescent="0.15"/>
    <row r="634" ht="21" customHeight="1" x14ac:dyDescent="0.15"/>
    <row r="635" ht="21" customHeight="1" x14ac:dyDescent="0.15"/>
    <row r="636" ht="21" customHeight="1" x14ac:dyDescent="0.15"/>
    <row r="637" ht="21" customHeight="1" x14ac:dyDescent="0.15"/>
    <row r="638" ht="21" customHeight="1" x14ac:dyDescent="0.15"/>
    <row r="639" ht="21" customHeight="1" x14ac:dyDescent="0.15"/>
    <row r="640" ht="21" customHeight="1" x14ac:dyDescent="0.15"/>
    <row r="641" ht="21" customHeight="1" x14ac:dyDescent="0.15"/>
    <row r="642" ht="21" customHeight="1" x14ac:dyDescent="0.15"/>
    <row r="643" ht="21" customHeight="1" x14ac:dyDescent="0.15"/>
    <row r="644" ht="21" customHeight="1" x14ac:dyDescent="0.15"/>
    <row r="645" ht="21" customHeight="1" x14ac:dyDescent="0.15"/>
    <row r="646" ht="21" customHeight="1" x14ac:dyDescent="0.15"/>
    <row r="647" ht="21" customHeight="1" x14ac:dyDescent="0.15"/>
    <row r="648" ht="21" customHeight="1" x14ac:dyDescent="0.15"/>
    <row r="649" ht="21" customHeight="1" x14ac:dyDescent="0.15"/>
    <row r="650" ht="21" customHeight="1" x14ac:dyDescent="0.15"/>
    <row r="651" ht="21" customHeight="1" x14ac:dyDescent="0.15"/>
    <row r="652" ht="21" customHeight="1" x14ac:dyDescent="0.15"/>
    <row r="653" ht="21" customHeight="1" x14ac:dyDescent="0.15"/>
    <row r="654" ht="21" customHeight="1" x14ac:dyDescent="0.15"/>
    <row r="655" ht="21" customHeight="1" x14ac:dyDescent="0.15"/>
    <row r="656" ht="21" customHeight="1" x14ac:dyDescent="0.15"/>
    <row r="657" ht="21" customHeight="1" x14ac:dyDescent="0.15"/>
    <row r="658" ht="21" customHeight="1" x14ac:dyDescent="0.15"/>
    <row r="659" ht="21" customHeight="1" x14ac:dyDescent="0.15"/>
    <row r="660" ht="21" customHeight="1" x14ac:dyDescent="0.15"/>
    <row r="661" ht="21" customHeight="1" x14ac:dyDescent="0.15"/>
    <row r="662" ht="21" customHeight="1" x14ac:dyDescent="0.15"/>
    <row r="663" ht="21" customHeight="1" x14ac:dyDescent="0.15"/>
    <row r="664" ht="21" customHeight="1" x14ac:dyDescent="0.15"/>
    <row r="665" ht="21" customHeight="1" x14ac:dyDescent="0.15"/>
    <row r="666" ht="21" customHeight="1" x14ac:dyDescent="0.15"/>
    <row r="667" ht="21" customHeight="1" x14ac:dyDescent="0.15"/>
    <row r="668" ht="21" customHeight="1" x14ac:dyDescent="0.15"/>
    <row r="669" ht="21" customHeight="1" x14ac:dyDescent="0.15"/>
    <row r="670" ht="21" customHeight="1" x14ac:dyDescent="0.15"/>
    <row r="671" ht="21" customHeight="1" x14ac:dyDescent="0.15"/>
    <row r="672" ht="21" customHeight="1" x14ac:dyDescent="0.15"/>
    <row r="673" ht="21" customHeight="1" x14ac:dyDescent="0.15"/>
    <row r="674" ht="21" customHeight="1" x14ac:dyDescent="0.15"/>
    <row r="675" ht="21" customHeight="1" x14ac:dyDescent="0.15"/>
    <row r="676" ht="21" customHeight="1" x14ac:dyDescent="0.15"/>
    <row r="677" ht="21" customHeight="1" x14ac:dyDescent="0.15"/>
    <row r="678" ht="21" customHeight="1" x14ac:dyDescent="0.15"/>
    <row r="679" ht="21" customHeight="1" x14ac:dyDescent="0.15"/>
    <row r="680" ht="21" customHeight="1" x14ac:dyDescent="0.15"/>
    <row r="681" ht="21" customHeight="1" x14ac:dyDescent="0.15"/>
    <row r="682" ht="21" customHeight="1" x14ac:dyDescent="0.15"/>
    <row r="683" ht="21" customHeight="1" x14ac:dyDescent="0.15"/>
    <row r="684" ht="21" customHeight="1" x14ac:dyDescent="0.15"/>
    <row r="685" ht="21" customHeight="1" x14ac:dyDescent="0.15"/>
    <row r="686" ht="21" customHeight="1" x14ac:dyDescent="0.15"/>
    <row r="687" ht="21" customHeight="1" x14ac:dyDescent="0.15"/>
    <row r="688" ht="21" customHeight="1" x14ac:dyDescent="0.15"/>
    <row r="689" ht="21" customHeight="1" x14ac:dyDescent="0.15"/>
    <row r="690" ht="21" customHeight="1" x14ac:dyDescent="0.15"/>
    <row r="691" ht="21" customHeight="1" x14ac:dyDescent="0.15"/>
    <row r="692" ht="21" customHeight="1" x14ac:dyDescent="0.15"/>
    <row r="693" ht="21" customHeight="1" x14ac:dyDescent="0.15"/>
    <row r="694" ht="21" customHeight="1" x14ac:dyDescent="0.15"/>
    <row r="695" ht="21" customHeight="1" x14ac:dyDescent="0.15"/>
    <row r="696" ht="21" customHeight="1" x14ac:dyDescent="0.15"/>
    <row r="697" ht="21" customHeight="1" x14ac:dyDescent="0.15"/>
    <row r="698" ht="21" customHeight="1" x14ac:dyDescent="0.15"/>
    <row r="699" ht="21" customHeight="1" x14ac:dyDescent="0.15"/>
    <row r="700" ht="21" customHeight="1" x14ac:dyDescent="0.15"/>
    <row r="701" ht="21" customHeight="1" x14ac:dyDescent="0.15"/>
    <row r="702" ht="21" customHeight="1" x14ac:dyDescent="0.15"/>
    <row r="703" ht="21" customHeight="1" x14ac:dyDescent="0.15"/>
    <row r="704" ht="21" customHeight="1" x14ac:dyDescent="0.15"/>
    <row r="705" ht="21" customHeight="1" x14ac:dyDescent="0.15"/>
    <row r="706" ht="21" customHeight="1" x14ac:dyDescent="0.15"/>
    <row r="707" ht="21" customHeight="1" x14ac:dyDescent="0.15"/>
    <row r="708" ht="21" customHeight="1" x14ac:dyDescent="0.15"/>
    <row r="709" ht="21" customHeight="1" x14ac:dyDescent="0.15"/>
    <row r="710" ht="21" customHeight="1" x14ac:dyDescent="0.15"/>
    <row r="711" ht="21" customHeight="1" x14ac:dyDescent="0.15"/>
    <row r="712" ht="21" customHeight="1" x14ac:dyDescent="0.15"/>
    <row r="713" ht="21" customHeight="1" x14ac:dyDescent="0.15"/>
    <row r="714" ht="21" customHeight="1" x14ac:dyDescent="0.15"/>
    <row r="715" ht="21" customHeight="1" x14ac:dyDescent="0.15"/>
    <row r="716" ht="21" customHeight="1" x14ac:dyDescent="0.15"/>
    <row r="717" ht="21" customHeight="1" x14ac:dyDescent="0.15"/>
    <row r="718" ht="21" customHeight="1" x14ac:dyDescent="0.15"/>
    <row r="719" ht="21" customHeight="1" x14ac:dyDescent="0.15"/>
    <row r="720" ht="21" customHeight="1" x14ac:dyDescent="0.15"/>
    <row r="721" ht="21" customHeight="1" x14ac:dyDescent="0.15"/>
    <row r="722" ht="21" customHeight="1" x14ac:dyDescent="0.15"/>
    <row r="723" ht="21" customHeight="1" x14ac:dyDescent="0.15"/>
    <row r="724" ht="21" customHeight="1" x14ac:dyDescent="0.15"/>
    <row r="725" ht="21" customHeight="1" x14ac:dyDescent="0.15"/>
    <row r="726" ht="21" customHeight="1" x14ac:dyDescent="0.15"/>
    <row r="727" ht="21" customHeight="1" x14ac:dyDescent="0.15"/>
    <row r="728" ht="21" customHeight="1" x14ac:dyDescent="0.15"/>
    <row r="729" ht="21" customHeight="1" x14ac:dyDescent="0.15"/>
    <row r="730" ht="21" customHeight="1" x14ac:dyDescent="0.15"/>
    <row r="731" ht="21" customHeight="1" x14ac:dyDescent="0.15"/>
    <row r="732" ht="21" customHeight="1" x14ac:dyDescent="0.15"/>
    <row r="733" ht="21" customHeight="1" x14ac:dyDescent="0.15"/>
    <row r="734" ht="21" customHeight="1" x14ac:dyDescent="0.15"/>
    <row r="735" ht="21" customHeight="1" x14ac:dyDescent="0.15"/>
    <row r="736" ht="21" customHeight="1" x14ac:dyDescent="0.15"/>
    <row r="737" ht="21" customHeight="1" x14ac:dyDescent="0.15"/>
    <row r="738" ht="21" customHeight="1" x14ac:dyDescent="0.15"/>
    <row r="739" ht="21" customHeight="1" x14ac:dyDescent="0.15"/>
    <row r="740" ht="21" customHeight="1" x14ac:dyDescent="0.15"/>
    <row r="741" ht="21" customHeight="1" x14ac:dyDescent="0.15"/>
    <row r="742" ht="21" customHeight="1" x14ac:dyDescent="0.15"/>
    <row r="743" ht="21" customHeight="1" x14ac:dyDescent="0.15"/>
    <row r="744" ht="21" customHeight="1" x14ac:dyDescent="0.15"/>
    <row r="745" ht="21" customHeight="1" x14ac:dyDescent="0.15"/>
    <row r="746" ht="21" customHeight="1" x14ac:dyDescent="0.15"/>
    <row r="747" ht="21" customHeight="1" x14ac:dyDescent="0.15"/>
    <row r="748" ht="21" customHeight="1" x14ac:dyDescent="0.15"/>
    <row r="749" ht="21" customHeight="1" x14ac:dyDescent="0.15"/>
    <row r="750" ht="21" customHeight="1" x14ac:dyDescent="0.15"/>
    <row r="751" ht="21" customHeight="1" x14ac:dyDescent="0.15"/>
    <row r="752" ht="21" customHeight="1" x14ac:dyDescent="0.15"/>
    <row r="753" ht="21" customHeight="1" x14ac:dyDescent="0.15"/>
    <row r="754" ht="21" customHeight="1" x14ac:dyDescent="0.15"/>
    <row r="755" ht="21" customHeight="1" x14ac:dyDescent="0.15"/>
    <row r="756" ht="21" customHeight="1" x14ac:dyDescent="0.15"/>
    <row r="757" ht="21" customHeight="1" x14ac:dyDescent="0.15"/>
    <row r="758" ht="21" customHeight="1" x14ac:dyDescent="0.15"/>
    <row r="759" ht="21" customHeight="1" x14ac:dyDescent="0.15"/>
    <row r="760" ht="21" customHeight="1" x14ac:dyDescent="0.15"/>
    <row r="761" ht="21" customHeight="1" x14ac:dyDescent="0.15"/>
    <row r="762" ht="21" customHeight="1" x14ac:dyDescent="0.15"/>
    <row r="763" ht="21" customHeight="1" x14ac:dyDescent="0.15"/>
    <row r="764" ht="21" customHeight="1" x14ac:dyDescent="0.15"/>
    <row r="765" ht="21" customHeight="1" x14ac:dyDescent="0.15"/>
    <row r="766" ht="21" customHeight="1" x14ac:dyDescent="0.15"/>
    <row r="767" ht="21" customHeight="1" x14ac:dyDescent="0.15"/>
    <row r="768" ht="21" customHeight="1" x14ac:dyDescent="0.15"/>
    <row r="769" ht="21" customHeight="1" x14ac:dyDescent="0.15"/>
    <row r="770" ht="21" customHeight="1" x14ac:dyDescent="0.15"/>
    <row r="771" ht="21" customHeight="1" x14ac:dyDescent="0.15"/>
    <row r="772" ht="21" customHeight="1" x14ac:dyDescent="0.15"/>
    <row r="773" ht="21" customHeight="1" x14ac:dyDescent="0.15"/>
    <row r="774" ht="21" customHeight="1" x14ac:dyDescent="0.15"/>
    <row r="775" ht="21" customHeight="1" x14ac:dyDescent="0.15"/>
    <row r="776" ht="21" customHeight="1" x14ac:dyDescent="0.15"/>
    <row r="777" ht="21" customHeight="1" x14ac:dyDescent="0.15"/>
    <row r="778" ht="21" customHeight="1" x14ac:dyDescent="0.15"/>
    <row r="779" ht="21" customHeight="1" x14ac:dyDescent="0.15"/>
    <row r="780" ht="21" customHeight="1" x14ac:dyDescent="0.15"/>
    <row r="781" ht="21" customHeight="1" x14ac:dyDescent="0.15"/>
    <row r="782" ht="21" customHeight="1" x14ac:dyDescent="0.15"/>
    <row r="783" ht="21" customHeight="1" x14ac:dyDescent="0.15"/>
    <row r="784" ht="21" customHeight="1" x14ac:dyDescent="0.15"/>
    <row r="785" ht="21" customHeight="1" x14ac:dyDescent="0.15"/>
    <row r="786" ht="21" customHeight="1" x14ac:dyDescent="0.15"/>
    <row r="787" ht="21" customHeight="1" x14ac:dyDescent="0.15"/>
    <row r="788" ht="21" customHeight="1" x14ac:dyDescent="0.15"/>
    <row r="789" ht="21" customHeight="1" x14ac:dyDescent="0.15"/>
    <row r="790" ht="21" customHeight="1" x14ac:dyDescent="0.15"/>
    <row r="791" ht="21" customHeight="1" x14ac:dyDescent="0.15"/>
    <row r="792" ht="21" customHeight="1" x14ac:dyDescent="0.15"/>
    <row r="793" ht="21" customHeight="1" x14ac:dyDescent="0.15"/>
    <row r="794" ht="21" customHeight="1" x14ac:dyDescent="0.15"/>
    <row r="795" ht="21" customHeight="1" x14ac:dyDescent="0.15"/>
    <row r="796" ht="21" customHeight="1" x14ac:dyDescent="0.15"/>
    <row r="797" ht="21" customHeight="1" x14ac:dyDescent="0.15"/>
    <row r="798" ht="21" customHeight="1" x14ac:dyDescent="0.15"/>
    <row r="799" ht="21" customHeight="1" x14ac:dyDescent="0.15"/>
    <row r="800" ht="21" customHeight="1" x14ac:dyDescent="0.15"/>
    <row r="801" ht="21" customHeight="1" x14ac:dyDescent="0.15"/>
    <row r="802" ht="21" customHeight="1" x14ac:dyDescent="0.15"/>
    <row r="803" ht="21" customHeight="1" x14ac:dyDescent="0.15"/>
    <row r="804" ht="21" customHeight="1" x14ac:dyDescent="0.15"/>
    <row r="805" ht="21" customHeight="1" x14ac:dyDescent="0.15"/>
    <row r="806" ht="21" customHeight="1" x14ac:dyDescent="0.15"/>
    <row r="807" ht="21" customHeight="1" x14ac:dyDescent="0.15"/>
    <row r="808" ht="21" customHeight="1" x14ac:dyDescent="0.15"/>
    <row r="809" ht="21" customHeight="1" x14ac:dyDescent="0.15"/>
    <row r="810" ht="21" customHeight="1" x14ac:dyDescent="0.15"/>
    <row r="811" ht="21" customHeight="1" x14ac:dyDescent="0.15"/>
    <row r="812" ht="21" customHeight="1" x14ac:dyDescent="0.15"/>
    <row r="813" ht="21" customHeight="1" x14ac:dyDescent="0.15"/>
    <row r="814" ht="21" customHeight="1" x14ac:dyDescent="0.15"/>
    <row r="815" ht="21" customHeight="1" x14ac:dyDescent="0.15"/>
    <row r="816" ht="21" customHeight="1" x14ac:dyDescent="0.15"/>
    <row r="817" ht="21" customHeight="1" x14ac:dyDescent="0.15"/>
    <row r="818" ht="21" customHeight="1" x14ac:dyDescent="0.15"/>
    <row r="819" ht="21" customHeight="1" x14ac:dyDescent="0.15"/>
    <row r="820" ht="21" customHeight="1" x14ac:dyDescent="0.15"/>
    <row r="821" ht="21" customHeight="1" x14ac:dyDescent="0.15"/>
    <row r="822" ht="21" customHeight="1" x14ac:dyDescent="0.15"/>
    <row r="823" ht="21" customHeight="1" x14ac:dyDescent="0.15"/>
    <row r="824" ht="21" customHeight="1" x14ac:dyDescent="0.15"/>
    <row r="825" ht="21" customHeight="1" x14ac:dyDescent="0.15"/>
    <row r="826" ht="21" customHeight="1" x14ac:dyDescent="0.15"/>
    <row r="827" ht="21" customHeight="1" x14ac:dyDescent="0.15"/>
    <row r="828" ht="21" customHeight="1" x14ac:dyDescent="0.15"/>
    <row r="829" ht="21" customHeight="1" x14ac:dyDescent="0.15"/>
    <row r="830" ht="21" customHeight="1" x14ac:dyDescent="0.15"/>
    <row r="831" ht="21" customHeight="1" x14ac:dyDescent="0.15"/>
    <row r="832" ht="21" customHeight="1" x14ac:dyDescent="0.15"/>
    <row r="833" ht="21" customHeight="1" x14ac:dyDescent="0.15"/>
    <row r="834" ht="21" customHeight="1" x14ac:dyDescent="0.15"/>
    <row r="835" ht="21" customHeight="1" x14ac:dyDescent="0.15"/>
    <row r="836" ht="21" customHeight="1" x14ac:dyDescent="0.15"/>
    <row r="837" ht="21" customHeight="1" x14ac:dyDescent="0.15"/>
    <row r="838" ht="21" customHeight="1" x14ac:dyDescent="0.15"/>
    <row r="839" ht="21" customHeight="1" x14ac:dyDescent="0.15"/>
    <row r="840" ht="21" customHeight="1" x14ac:dyDescent="0.15"/>
    <row r="841" ht="21" customHeight="1" x14ac:dyDescent="0.15"/>
    <row r="842" ht="21" customHeight="1" x14ac:dyDescent="0.15"/>
    <row r="843" ht="21" customHeight="1" x14ac:dyDescent="0.15"/>
    <row r="844" ht="21" customHeight="1" x14ac:dyDescent="0.15"/>
    <row r="845" ht="21" customHeight="1" x14ac:dyDescent="0.15"/>
    <row r="846" ht="21" customHeight="1" x14ac:dyDescent="0.15"/>
    <row r="847" ht="21" customHeight="1" x14ac:dyDescent="0.15"/>
    <row r="848" ht="21" customHeight="1" x14ac:dyDescent="0.15"/>
    <row r="849" ht="21" customHeight="1" x14ac:dyDescent="0.15"/>
    <row r="850" ht="21" customHeight="1" x14ac:dyDescent="0.15"/>
    <row r="851" ht="21" customHeight="1" x14ac:dyDescent="0.15"/>
    <row r="852" ht="21" customHeight="1" x14ac:dyDescent="0.15"/>
    <row r="853" ht="21" customHeight="1" x14ac:dyDescent="0.15"/>
    <row r="854" ht="21" customHeight="1" x14ac:dyDescent="0.15"/>
    <row r="855" ht="21" customHeight="1" x14ac:dyDescent="0.15"/>
    <row r="856" ht="21" customHeight="1" x14ac:dyDescent="0.15"/>
    <row r="857" ht="21" customHeight="1" x14ac:dyDescent="0.15"/>
    <row r="858" ht="21" customHeight="1" x14ac:dyDescent="0.15"/>
    <row r="859" ht="21" customHeight="1" x14ac:dyDescent="0.15"/>
    <row r="860" ht="21" customHeight="1" x14ac:dyDescent="0.15"/>
    <row r="861" ht="21" customHeight="1" x14ac:dyDescent="0.15"/>
    <row r="862" ht="21" customHeight="1" x14ac:dyDescent="0.15"/>
    <row r="863" ht="21" customHeight="1" x14ac:dyDescent="0.15"/>
    <row r="864" ht="21" customHeight="1" x14ac:dyDescent="0.15"/>
    <row r="865" ht="21" customHeight="1" x14ac:dyDescent="0.15"/>
    <row r="866" ht="21" customHeight="1" x14ac:dyDescent="0.15"/>
    <row r="867" ht="21" customHeight="1" x14ac:dyDescent="0.15"/>
    <row r="868" ht="21" customHeight="1" x14ac:dyDescent="0.15"/>
    <row r="869" ht="21" customHeight="1" x14ac:dyDescent="0.15"/>
    <row r="870" ht="21" customHeight="1" x14ac:dyDescent="0.15"/>
    <row r="871" ht="21" customHeight="1" x14ac:dyDescent="0.15"/>
    <row r="872" ht="21" customHeight="1" x14ac:dyDescent="0.15"/>
    <row r="873" ht="21" customHeight="1" x14ac:dyDescent="0.15"/>
    <row r="874" ht="21" customHeight="1" x14ac:dyDescent="0.15"/>
    <row r="875" ht="21" customHeight="1" x14ac:dyDescent="0.15"/>
    <row r="876" ht="21" customHeight="1" x14ac:dyDescent="0.15"/>
    <row r="877" ht="21" customHeight="1" x14ac:dyDescent="0.15"/>
    <row r="878" ht="21" customHeight="1" x14ac:dyDescent="0.15"/>
    <row r="879" ht="21" customHeight="1" x14ac:dyDescent="0.15"/>
    <row r="880" ht="21" customHeight="1" x14ac:dyDescent="0.15"/>
    <row r="881" ht="21" customHeight="1" x14ac:dyDescent="0.15"/>
    <row r="882" ht="21" customHeight="1" x14ac:dyDescent="0.15"/>
    <row r="883" ht="21" customHeight="1" x14ac:dyDescent="0.15"/>
    <row r="884" ht="21" customHeight="1" x14ac:dyDescent="0.15"/>
    <row r="885" ht="21" customHeight="1" x14ac:dyDescent="0.15"/>
    <row r="886" ht="21" customHeight="1" x14ac:dyDescent="0.15"/>
    <row r="887" ht="21" customHeight="1" x14ac:dyDescent="0.15"/>
    <row r="888" ht="21" customHeight="1" x14ac:dyDescent="0.15"/>
    <row r="889" ht="21" customHeight="1" x14ac:dyDescent="0.15"/>
    <row r="890" ht="21" customHeight="1" x14ac:dyDescent="0.15"/>
    <row r="891" ht="21" customHeight="1" x14ac:dyDescent="0.15"/>
    <row r="892" ht="21" customHeight="1" x14ac:dyDescent="0.15"/>
    <row r="893" ht="21" customHeight="1" x14ac:dyDescent="0.15"/>
    <row r="894" ht="21" customHeight="1" x14ac:dyDescent="0.15"/>
    <row r="895" ht="21" customHeight="1" x14ac:dyDescent="0.15"/>
    <row r="896" ht="21" customHeight="1" x14ac:dyDescent="0.15"/>
    <row r="897" ht="21" customHeight="1" x14ac:dyDescent="0.15"/>
    <row r="898" ht="21" customHeight="1" x14ac:dyDescent="0.15"/>
    <row r="899" ht="21" customHeight="1" x14ac:dyDescent="0.15"/>
    <row r="900" ht="21" customHeight="1" x14ac:dyDescent="0.15"/>
    <row r="901" ht="21" customHeight="1" x14ac:dyDescent="0.15"/>
    <row r="902" ht="21" customHeight="1" x14ac:dyDescent="0.15"/>
    <row r="903" ht="21" customHeight="1" x14ac:dyDescent="0.15"/>
    <row r="904" ht="21" customHeight="1" x14ac:dyDescent="0.15"/>
    <row r="905" ht="21" customHeight="1" x14ac:dyDescent="0.15"/>
    <row r="906" ht="21" customHeight="1" x14ac:dyDescent="0.15"/>
    <row r="907" ht="21" customHeight="1" x14ac:dyDescent="0.15"/>
    <row r="908" ht="21" customHeight="1" x14ac:dyDescent="0.15"/>
    <row r="909" ht="21" customHeight="1" x14ac:dyDescent="0.15"/>
    <row r="910" ht="21" customHeight="1" x14ac:dyDescent="0.15"/>
    <row r="911" ht="21" customHeight="1" x14ac:dyDescent="0.15"/>
    <row r="912" ht="21" customHeight="1" x14ac:dyDescent="0.15"/>
    <row r="913" ht="21" customHeight="1" x14ac:dyDescent="0.15"/>
    <row r="914" ht="21" customHeight="1" x14ac:dyDescent="0.15"/>
    <row r="915" ht="21" customHeight="1" x14ac:dyDescent="0.15"/>
    <row r="916" ht="21" customHeight="1" x14ac:dyDescent="0.15"/>
    <row r="917" ht="21" customHeight="1" x14ac:dyDescent="0.15"/>
    <row r="918" ht="21" customHeight="1" x14ac:dyDescent="0.15"/>
    <row r="919" ht="21" customHeight="1" x14ac:dyDescent="0.15"/>
    <row r="920" ht="21" customHeight="1" x14ac:dyDescent="0.15"/>
    <row r="921" ht="21" customHeight="1" x14ac:dyDescent="0.15"/>
    <row r="922" ht="21" customHeight="1" x14ac:dyDescent="0.15"/>
    <row r="923" ht="21" customHeight="1" x14ac:dyDescent="0.15"/>
    <row r="924" ht="21" customHeight="1" x14ac:dyDescent="0.15"/>
    <row r="925" ht="21" customHeight="1" x14ac:dyDescent="0.15"/>
    <row r="926" ht="21" customHeight="1" x14ac:dyDescent="0.15"/>
    <row r="927" ht="21" customHeight="1" x14ac:dyDescent="0.15"/>
    <row r="928" ht="21" customHeight="1" x14ac:dyDescent="0.15"/>
    <row r="929" ht="21" customHeight="1" x14ac:dyDescent="0.15"/>
    <row r="930" ht="21" customHeight="1" x14ac:dyDescent="0.15"/>
    <row r="931" ht="21" customHeight="1" x14ac:dyDescent="0.15"/>
    <row r="932" ht="21" customHeight="1" x14ac:dyDescent="0.15"/>
    <row r="933" ht="21" customHeight="1" x14ac:dyDescent="0.15"/>
    <row r="934" ht="21" customHeight="1" x14ac:dyDescent="0.15"/>
    <row r="935" ht="21" customHeight="1" x14ac:dyDescent="0.15"/>
    <row r="936" ht="21" customHeight="1" x14ac:dyDescent="0.15"/>
    <row r="937" ht="21" customHeight="1" x14ac:dyDescent="0.15"/>
    <row r="938" ht="21" customHeight="1" x14ac:dyDescent="0.15"/>
    <row r="939" ht="21" customHeight="1" x14ac:dyDescent="0.15"/>
    <row r="940" ht="21" customHeight="1" x14ac:dyDescent="0.15"/>
    <row r="941" ht="21" customHeight="1" x14ac:dyDescent="0.15"/>
    <row r="942" ht="21" customHeight="1" x14ac:dyDescent="0.15"/>
    <row r="943" ht="21" customHeight="1" x14ac:dyDescent="0.15"/>
    <row r="944" ht="21" customHeight="1" x14ac:dyDescent="0.15"/>
    <row r="945" ht="21" customHeight="1" x14ac:dyDescent="0.15"/>
    <row r="946" ht="21" customHeight="1" x14ac:dyDescent="0.15"/>
    <row r="947" ht="21" customHeight="1" x14ac:dyDescent="0.15"/>
    <row r="948" ht="21" customHeight="1" x14ac:dyDescent="0.15"/>
    <row r="949" ht="21" customHeight="1" x14ac:dyDescent="0.15"/>
    <row r="950" ht="21" customHeight="1" x14ac:dyDescent="0.15"/>
    <row r="951" ht="21" customHeight="1" x14ac:dyDescent="0.15"/>
    <row r="952" ht="21" customHeight="1" x14ac:dyDescent="0.15"/>
    <row r="953" ht="21" customHeight="1" x14ac:dyDescent="0.15"/>
    <row r="954" ht="21" customHeight="1" x14ac:dyDescent="0.15"/>
    <row r="955" ht="21" customHeight="1" x14ac:dyDescent="0.15"/>
    <row r="956" ht="21" customHeight="1" x14ac:dyDescent="0.15"/>
    <row r="957" ht="21" customHeight="1" x14ac:dyDescent="0.15"/>
    <row r="958" ht="21" customHeight="1" x14ac:dyDescent="0.15"/>
    <row r="959" ht="21" customHeight="1" x14ac:dyDescent="0.15"/>
    <row r="960" ht="21" customHeight="1" x14ac:dyDescent="0.15"/>
    <row r="961" ht="21" customHeight="1" x14ac:dyDescent="0.15"/>
    <row r="962" ht="21" customHeight="1" x14ac:dyDescent="0.15"/>
    <row r="963" ht="21" customHeight="1" x14ac:dyDescent="0.15"/>
    <row r="964" ht="21" customHeight="1" x14ac:dyDescent="0.15"/>
    <row r="965" ht="21" customHeight="1" x14ac:dyDescent="0.15"/>
    <row r="966" ht="21" customHeight="1" x14ac:dyDescent="0.15"/>
    <row r="967" ht="21" customHeight="1" x14ac:dyDescent="0.15"/>
    <row r="968" ht="21" customHeight="1" x14ac:dyDescent="0.15"/>
    <row r="969" ht="21" customHeight="1" x14ac:dyDescent="0.15"/>
    <row r="970" ht="21" customHeight="1" x14ac:dyDescent="0.15"/>
    <row r="971" ht="21" customHeight="1" x14ac:dyDescent="0.15"/>
    <row r="972" ht="21" customHeight="1" x14ac:dyDescent="0.15"/>
    <row r="973" ht="21" customHeight="1" x14ac:dyDescent="0.15"/>
    <row r="974" ht="21" customHeight="1" x14ac:dyDescent="0.15"/>
    <row r="975" ht="21" customHeight="1" x14ac:dyDescent="0.15"/>
    <row r="976" ht="21" customHeight="1" x14ac:dyDescent="0.15"/>
    <row r="977" ht="21" customHeight="1" x14ac:dyDescent="0.15"/>
    <row r="978" ht="21" customHeight="1" x14ac:dyDescent="0.15"/>
    <row r="979" ht="21" customHeight="1" x14ac:dyDescent="0.15"/>
    <row r="980" ht="21" customHeight="1" x14ac:dyDescent="0.15"/>
    <row r="981" ht="21" customHeight="1" x14ac:dyDescent="0.15"/>
    <row r="982" ht="21" customHeight="1" x14ac:dyDescent="0.15"/>
    <row r="983" ht="21" customHeight="1" x14ac:dyDescent="0.15"/>
    <row r="984" ht="21" customHeight="1" x14ac:dyDescent="0.15"/>
    <row r="985" ht="21" customHeight="1" x14ac:dyDescent="0.15"/>
    <row r="986" ht="21" customHeight="1" x14ac:dyDescent="0.15"/>
    <row r="987" ht="21" customHeight="1" x14ac:dyDescent="0.15"/>
    <row r="988" ht="21" customHeight="1" x14ac:dyDescent="0.15"/>
    <row r="989" ht="21" customHeight="1" x14ac:dyDescent="0.15"/>
    <row r="990" ht="21" customHeight="1" x14ac:dyDescent="0.15"/>
    <row r="991" ht="21" customHeight="1" x14ac:dyDescent="0.15"/>
    <row r="992" ht="21" customHeight="1" x14ac:dyDescent="0.15"/>
    <row r="993" ht="21" customHeight="1" x14ac:dyDescent="0.15"/>
    <row r="994" ht="21" customHeight="1" x14ac:dyDescent="0.15"/>
    <row r="995" ht="21" customHeight="1" x14ac:dyDescent="0.15"/>
    <row r="996" ht="21" customHeight="1" x14ac:dyDescent="0.15"/>
    <row r="997" ht="21" customHeight="1" x14ac:dyDescent="0.15"/>
    <row r="998" ht="21" customHeight="1" x14ac:dyDescent="0.15"/>
    <row r="999" ht="21" customHeight="1" x14ac:dyDescent="0.15"/>
    <row r="1000" ht="21" customHeight="1" x14ac:dyDescent="0.15"/>
  </sheetData>
  <mergeCells count="22">
    <mergeCell ref="A2:Q2"/>
    <mergeCell ref="A4:G5"/>
    <mergeCell ref="H4:AE5"/>
    <mergeCell ref="AF4:AM5"/>
    <mergeCell ref="A6:A7"/>
    <mergeCell ref="B6:B7"/>
    <mergeCell ref="D6:D7"/>
    <mergeCell ref="A8:AM8"/>
    <mergeCell ref="A16:AM16"/>
    <mergeCell ref="A22:AM22"/>
    <mergeCell ref="A28:AM28"/>
    <mergeCell ref="A33:AM33"/>
    <mergeCell ref="T6:W6"/>
    <mergeCell ref="X6:AA6"/>
    <mergeCell ref="AB6:AE6"/>
    <mergeCell ref="AF6:AI6"/>
    <mergeCell ref="AJ6:AM6"/>
    <mergeCell ref="E6:F6"/>
    <mergeCell ref="G6:G7"/>
    <mergeCell ref="H6:K6"/>
    <mergeCell ref="L6:O6"/>
    <mergeCell ref="P6:S6"/>
  </mergeCells>
  <conditionalFormatting sqref="D1 D3 D6:D7 D9:D15 D17:D21">
    <cfRule type="containsText" dxfId="45" priority="1" operator="containsText" text="In process">
      <formula>NOT(ISERROR(SEARCH(("In process"),(D1))))</formula>
    </cfRule>
    <cfRule type="containsText" dxfId="44" priority="2" operator="containsText" text="Done">
      <formula>NOT(ISERROR(SEARCH(("Done"),(D1))))</formula>
    </cfRule>
  </conditionalFormatting>
  <conditionalFormatting sqref="D9:D15 D17:D21">
    <cfRule type="containsText" dxfId="43" priority="3" operator="containsText" text="In progress">
      <formula>NOT(ISERROR(SEARCH(("In progress"),(D9))))</formula>
    </cfRule>
  </conditionalFormatting>
  <conditionalFormatting sqref="D23:D27">
    <cfRule type="containsText" dxfId="42" priority="4" operator="containsText" text="In progress">
      <formula>NOT(ISERROR(SEARCH(("In progress"),(D23))))</formula>
    </cfRule>
    <cfRule type="containsText" dxfId="41" priority="5" operator="containsText" text="In process">
      <formula>NOT(ISERROR(SEARCH(("In process"),(D23))))</formula>
    </cfRule>
    <cfRule type="containsText" dxfId="40" priority="6" operator="containsText" text="Done">
      <formula>NOT(ISERROR(SEARCH(("Done"),(D23))))</formula>
    </cfRule>
  </conditionalFormatting>
  <conditionalFormatting sqref="D29:D32">
    <cfRule type="containsText" dxfId="39" priority="7" operator="containsText" text="In progress">
      <formula>NOT(ISERROR(SEARCH(("In progress"),(D29))))</formula>
    </cfRule>
    <cfRule type="containsText" dxfId="38" priority="8" operator="containsText" text="In process">
      <formula>NOT(ISERROR(SEARCH(("In process"),(D29))))</formula>
    </cfRule>
    <cfRule type="containsText" dxfId="37" priority="9" operator="containsText" text="Done">
      <formula>NOT(ISERROR(SEARCH(("Done"),(D29))))</formula>
    </cfRule>
  </conditionalFormatting>
  <conditionalFormatting sqref="D34:D37">
    <cfRule type="containsText" dxfId="36" priority="10" operator="containsText" text="In progress">
      <formula>NOT(ISERROR(SEARCH(("In progress"),(D34))))</formula>
    </cfRule>
  </conditionalFormatting>
  <conditionalFormatting sqref="D34:D1000">
    <cfRule type="containsText" dxfId="35" priority="11" operator="containsText" text="In process">
      <formula>NOT(ISERROR(SEARCH(("In process"),(D34))))</formula>
    </cfRule>
    <cfRule type="containsText" dxfId="34" priority="12" operator="containsText" text="Done">
      <formula>NOT(ISERROR(SEARCH(("Done"),(D34))))</formula>
    </cfRule>
  </conditionalFormatting>
  <conditionalFormatting sqref="AO1:AO3">
    <cfRule type="containsText" dxfId="33" priority="13" operator="containsText" text="In progress">
      <formula>NOT(ISERROR(SEARCH(("In progress"),(AO1))))</formula>
    </cfRule>
    <cfRule type="containsText" dxfId="32" priority="14" operator="containsText" text="In process">
      <formula>NOT(ISERROR(SEARCH(("In process"),(AO1))))</formula>
    </cfRule>
    <cfRule type="containsText" dxfId="31" priority="15" operator="containsText" text="Done">
      <formula>NOT(ISERROR(SEARCH(("Done"),(AO1))))</formula>
    </cfRule>
  </conditionalFormatting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tabSelected="1" workbookViewId="0">
      <selection activeCell="E10" sqref="E10"/>
    </sheetView>
  </sheetViews>
  <sheetFormatPr baseColWidth="10" defaultColWidth="12.6640625" defaultRowHeight="14" x14ac:dyDescent="0.15"/>
  <cols>
    <col min="1" max="1" width="6.6640625" customWidth="1"/>
    <col min="2" max="2" width="47" customWidth="1"/>
    <col min="3" max="3" width="85.1640625" customWidth="1"/>
    <col min="4" max="4" width="13.5" customWidth="1"/>
    <col min="5" max="5" width="12.5" customWidth="1"/>
    <col min="6" max="6" width="37.33203125" customWidth="1"/>
    <col min="7" max="7" width="13.1640625" customWidth="1"/>
    <col min="8" max="8" width="9.6640625" customWidth="1"/>
    <col min="9" max="9" width="10.33203125" customWidth="1"/>
    <col min="10" max="10" width="8.6640625" customWidth="1"/>
    <col min="11" max="11" width="9.33203125" customWidth="1"/>
    <col min="12" max="26" width="8.6640625" customWidth="1"/>
  </cols>
  <sheetData>
    <row r="1" spans="1:6" ht="63" customHeight="1" x14ac:dyDescent="0.15">
      <c r="A1" s="274" t="s">
        <v>119</v>
      </c>
      <c r="B1" s="254"/>
      <c r="C1" s="254"/>
      <c r="D1" s="254"/>
      <c r="E1" s="254"/>
    </row>
    <row r="2" spans="1:6" ht="18" customHeight="1" x14ac:dyDescent="0.15">
      <c r="A2" s="275"/>
      <c r="B2" s="254"/>
      <c r="C2" s="24"/>
      <c r="D2" s="24"/>
      <c r="E2" s="24"/>
    </row>
    <row r="3" spans="1:6" ht="18" customHeight="1" x14ac:dyDescent="0.15">
      <c r="A3" s="23"/>
      <c r="B3" s="24"/>
      <c r="C3" s="24"/>
      <c r="D3" s="24"/>
      <c r="E3" s="24"/>
    </row>
    <row r="4" spans="1:6" ht="18" customHeight="1" x14ac:dyDescent="0.15">
      <c r="A4" s="24" t="s">
        <v>182</v>
      </c>
      <c r="B4" s="25"/>
      <c r="C4" s="26"/>
      <c r="D4" s="26"/>
      <c r="E4" s="26"/>
    </row>
    <row r="5" spans="1:6" ht="28" customHeight="1" x14ac:dyDescent="0.15">
      <c r="A5" s="5"/>
      <c r="B5" s="27" t="s">
        <v>183</v>
      </c>
      <c r="E5" s="28" t="s">
        <v>184</v>
      </c>
    </row>
    <row r="6" spans="1:6" ht="27" customHeight="1" x14ac:dyDescent="0.15">
      <c r="A6" s="5" t="s">
        <v>185</v>
      </c>
      <c r="B6" s="27"/>
      <c r="E6" s="28" t="s">
        <v>186</v>
      </c>
    </row>
    <row r="7" spans="1:6" ht="27" customHeight="1" x14ac:dyDescent="0.15">
      <c r="A7" s="5"/>
      <c r="B7" s="27"/>
      <c r="E7" s="28"/>
    </row>
    <row r="8" spans="1:6" ht="27" customHeight="1" x14ac:dyDescent="0.15">
      <c r="A8" s="276"/>
      <c r="B8" s="254"/>
      <c r="C8" s="254"/>
      <c r="D8" s="254"/>
      <c r="E8" s="254"/>
    </row>
    <row r="9" spans="1:6" ht="18" customHeight="1" x14ac:dyDescent="0.15">
      <c r="A9" s="5"/>
      <c r="B9" s="5"/>
      <c r="C9" s="5"/>
      <c r="D9" s="5"/>
      <c r="E9" s="5"/>
    </row>
    <row r="10" spans="1:6" ht="18" customHeight="1" x14ac:dyDescent="0.15">
      <c r="A10" s="29" t="s">
        <v>44</v>
      </c>
      <c r="B10" s="30" t="s">
        <v>187</v>
      </c>
      <c r="C10" s="30" t="s">
        <v>51</v>
      </c>
      <c r="D10" s="30" t="s">
        <v>188</v>
      </c>
      <c r="E10" s="31" t="s">
        <v>189</v>
      </c>
      <c r="F10" s="32" t="s">
        <v>190</v>
      </c>
    </row>
    <row r="11" spans="1:6" ht="30" customHeight="1" x14ac:dyDescent="0.15">
      <c r="A11" s="33" t="s">
        <v>191</v>
      </c>
      <c r="B11" s="277" t="s">
        <v>192</v>
      </c>
      <c r="C11" s="278"/>
      <c r="D11" s="34"/>
      <c r="E11" s="35"/>
      <c r="F11" s="35"/>
    </row>
    <row r="12" spans="1:6" ht="39" customHeight="1" x14ac:dyDescent="0.15">
      <c r="A12" s="36">
        <v>1</v>
      </c>
      <c r="B12" s="37" t="s">
        <v>193</v>
      </c>
      <c r="C12" s="37" t="s">
        <v>194</v>
      </c>
      <c r="D12" s="197">
        <v>3</v>
      </c>
      <c r="E12" s="198">
        <v>3</v>
      </c>
      <c r="F12" s="38"/>
    </row>
    <row r="13" spans="1:6" ht="41" customHeight="1" x14ac:dyDescent="0.15">
      <c r="A13" s="36">
        <f t="shared" ref="A13:A16" si="0">A12+1</f>
        <v>2</v>
      </c>
      <c r="B13" s="37" t="s">
        <v>195</v>
      </c>
      <c r="C13" s="39" t="s">
        <v>196</v>
      </c>
      <c r="D13" s="197">
        <v>5</v>
      </c>
      <c r="E13" s="198">
        <v>8</v>
      </c>
      <c r="F13" s="38"/>
    </row>
    <row r="14" spans="1:6" ht="39" customHeight="1" x14ac:dyDescent="0.15">
      <c r="A14" s="36">
        <f t="shared" si="0"/>
        <v>3</v>
      </c>
      <c r="B14" s="40" t="s">
        <v>197</v>
      </c>
      <c r="C14" s="41" t="s">
        <v>198</v>
      </c>
      <c r="D14" s="199">
        <v>5</v>
      </c>
      <c r="E14" s="198">
        <v>8</v>
      </c>
      <c r="F14" s="38"/>
    </row>
    <row r="15" spans="1:6" ht="39" customHeight="1" x14ac:dyDescent="0.15">
      <c r="A15" s="36">
        <f t="shared" si="0"/>
        <v>4</v>
      </c>
      <c r="B15" s="37" t="s">
        <v>199</v>
      </c>
      <c r="C15" s="41" t="s">
        <v>200</v>
      </c>
      <c r="D15" s="199">
        <v>4</v>
      </c>
      <c r="E15" s="198">
        <v>8</v>
      </c>
      <c r="F15" s="38"/>
    </row>
    <row r="16" spans="1:6" ht="39" customHeight="1" x14ac:dyDescent="0.15">
      <c r="A16" s="36">
        <f t="shared" si="0"/>
        <v>5</v>
      </c>
      <c r="B16" s="42" t="s">
        <v>201</v>
      </c>
      <c r="C16" s="41" t="s">
        <v>202</v>
      </c>
      <c r="D16" s="199">
        <v>7</v>
      </c>
      <c r="E16" s="200">
        <v>14</v>
      </c>
      <c r="F16" s="43"/>
    </row>
    <row r="17" spans="1:6" ht="31" customHeight="1" x14ac:dyDescent="0.15">
      <c r="A17" s="44" t="s">
        <v>203</v>
      </c>
      <c r="B17" s="45" t="s">
        <v>204</v>
      </c>
      <c r="C17" s="45"/>
      <c r="D17" s="201"/>
      <c r="E17" s="201"/>
      <c r="F17" s="45"/>
    </row>
    <row r="18" spans="1:6" ht="38" customHeight="1" x14ac:dyDescent="0.15">
      <c r="A18" s="46">
        <v>1</v>
      </c>
      <c r="B18" s="279" t="s">
        <v>205</v>
      </c>
      <c r="C18" s="280" t="s">
        <v>206</v>
      </c>
      <c r="D18" s="281"/>
      <c r="E18" s="281"/>
      <c r="F18" s="282"/>
    </row>
    <row r="19" spans="1:6" ht="18" customHeight="1" x14ac:dyDescent="0.15">
      <c r="A19" s="47" t="s">
        <v>80</v>
      </c>
      <c r="B19" s="47" t="s">
        <v>207</v>
      </c>
      <c r="C19" s="47" t="s">
        <v>208</v>
      </c>
      <c r="D19" s="202">
        <v>5</v>
      </c>
      <c r="E19" s="202">
        <v>8</v>
      </c>
      <c r="F19" s="47"/>
    </row>
    <row r="20" spans="1:6" ht="18" customHeight="1" x14ac:dyDescent="0.15">
      <c r="A20" s="47" t="s">
        <v>83</v>
      </c>
      <c r="B20" s="47" t="s">
        <v>209</v>
      </c>
      <c r="C20" s="47" t="s">
        <v>210</v>
      </c>
      <c r="D20" s="202">
        <v>4</v>
      </c>
      <c r="E20" s="202">
        <v>7</v>
      </c>
      <c r="F20" s="47"/>
    </row>
    <row r="21" spans="1:6" ht="18" customHeight="1" x14ac:dyDescent="0.15">
      <c r="A21" s="47" t="s">
        <v>211</v>
      </c>
      <c r="B21" s="47" t="s">
        <v>212</v>
      </c>
      <c r="C21" s="47" t="s">
        <v>213</v>
      </c>
      <c r="D21" s="202">
        <v>6</v>
      </c>
      <c r="E21" s="202">
        <v>10</v>
      </c>
      <c r="F21" s="47"/>
    </row>
    <row r="22" spans="1:6" ht="18" customHeight="1" x14ac:dyDescent="0.15">
      <c r="A22" s="47" t="s">
        <v>214</v>
      </c>
      <c r="B22" s="47" t="s">
        <v>215</v>
      </c>
      <c r="C22" s="47" t="s">
        <v>216</v>
      </c>
      <c r="D22" s="202">
        <v>4</v>
      </c>
      <c r="E22" s="202">
        <v>7</v>
      </c>
      <c r="F22" s="47"/>
    </row>
    <row r="23" spans="1:6" ht="18" customHeight="1" x14ac:dyDescent="0.15">
      <c r="A23" s="47">
        <v>2</v>
      </c>
      <c r="B23" s="47" t="s">
        <v>217</v>
      </c>
      <c r="C23" s="47" t="s">
        <v>218</v>
      </c>
      <c r="D23" s="202"/>
      <c r="E23" s="202"/>
      <c r="F23" s="47"/>
    </row>
    <row r="24" spans="1:6" ht="18" customHeight="1" x14ac:dyDescent="0.15">
      <c r="A24" s="47" t="s">
        <v>86</v>
      </c>
      <c r="B24" s="47" t="s">
        <v>219</v>
      </c>
      <c r="C24" s="47" t="s">
        <v>220</v>
      </c>
      <c r="D24" s="202">
        <v>5</v>
      </c>
      <c r="E24" s="202">
        <v>9</v>
      </c>
      <c r="F24" s="47"/>
    </row>
    <row r="25" spans="1:6" ht="25" customHeight="1" x14ac:dyDescent="0.15">
      <c r="A25" s="48" t="s">
        <v>88</v>
      </c>
      <c r="B25" s="47" t="s">
        <v>221</v>
      </c>
      <c r="C25" s="47" t="s">
        <v>222</v>
      </c>
      <c r="D25" s="203">
        <v>5</v>
      </c>
      <c r="E25" s="204">
        <v>9</v>
      </c>
      <c r="F25" s="47"/>
    </row>
    <row r="26" spans="1:6" ht="18" customHeight="1" x14ac:dyDescent="0.15">
      <c r="A26" s="48" t="s">
        <v>90</v>
      </c>
      <c r="B26" s="47" t="s">
        <v>223</v>
      </c>
      <c r="C26" s="47" t="s">
        <v>224</v>
      </c>
      <c r="D26" s="203">
        <v>7</v>
      </c>
      <c r="E26" s="204">
        <v>14</v>
      </c>
      <c r="F26" s="47"/>
    </row>
    <row r="27" spans="1:6" ht="18" customHeight="1" x14ac:dyDescent="0.15">
      <c r="A27" s="47" t="s">
        <v>92</v>
      </c>
      <c r="B27" s="47" t="s">
        <v>225</v>
      </c>
      <c r="C27" s="47" t="s">
        <v>226</v>
      </c>
      <c r="D27" s="202">
        <v>4</v>
      </c>
      <c r="E27" s="205">
        <v>7</v>
      </c>
      <c r="F27" s="47"/>
    </row>
    <row r="28" spans="1:6" ht="18" customHeight="1" x14ac:dyDescent="0.15">
      <c r="A28" s="48" t="s">
        <v>94</v>
      </c>
      <c r="B28" s="47" t="s">
        <v>227</v>
      </c>
      <c r="C28" s="47" t="s">
        <v>228</v>
      </c>
      <c r="D28" s="202">
        <v>4</v>
      </c>
      <c r="E28" s="205">
        <v>7</v>
      </c>
      <c r="F28" s="47"/>
    </row>
    <row r="29" spans="1:6" ht="18" customHeight="1" x14ac:dyDescent="0.15">
      <c r="A29" s="48">
        <v>3</v>
      </c>
      <c r="B29" s="47" t="s">
        <v>229</v>
      </c>
      <c r="C29" s="47" t="s">
        <v>230</v>
      </c>
      <c r="D29" s="202"/>
      <c r="E29" s="205"/>
      <c r="F29" s="47"/>
    </row>
    <row r="30" spans="1:6" ht="18" customHeight="1" x14ac:dyDescent="0.15">
      <c r="A30" s="47" t="s">
        <v>97</v>
      </c>
      <c r="B30" s="47" t="s">
        <v>231</v>
      </c>
      <c r="C30" s="47" t="s">
        <v>232</v>
      </c>
      <c r="D30" s="203">
        <v>3</v>
      </c>
      <c r="E30" s="204">
        <v>5</v>
      </c>
      <c r="F30" s="47"/>
    </row>
    <row r="31" spans="1:6" ht="18" customHeight="1" x14ac:dyDescent="0.15">
      <c r="A31" s="48" t="s">
        <v>99</v>
      </c>
      <c r="B31" s="47" t="s">
        <v>233</v>
      </c>
      <c r="C31" s="47" t="s">
        <v>234</v>
      </c>
      <c r="D31" s="203">
        <v>3</v>
      </c>
      <c r="E31" s="204">
        <v>5</v>
      </c>
      <c r="F31" s="47"/>
    </row>
    <row r="32" spans="1:6" ht="40" customHeight="1" x14ac:dyDescent="0.15">
      <c r="A32" s="46" t="s">
        <v>101</v>
      </c>
      <c r="B32" s="283" t="s">
        <v>235</v>
      </c>
      <c r="C32" s="280" t="s">
        <v>236</v>
      </c>
      <c r="D32" s="281">
        <v>6</v>
      </c>
      <c r="E32" s="281">
        <v>10</v>
      </c>
      <c r="F32" s="284"/>
    </row>
    <row r="33" spans="1:6" ht="18" customHeight="1" x14ac:dyDescent="0.15">
      <c r="A33" s="47" t="s">
        <v>237</v>
      </c>
      <c r="B33" s="47" t="s">
        <v>238</v>
      </c>
      <c r="C33" s="47" t="s">
        <v>239</v>
      </c>
      <c r="D33" s="202">
        <v>5</v>
      </c>
      <c r="E33" s="202">
        <v>9</v>
      </c>
      <c r="F33" s="47"/>
    </row>
    <row r="34" spans="1:6" ht="18" customHeight="1" x14ac:dyDescent="0.15">
      <c r="A34" s="47" t="s">
        <v>240</v>
      </c>
      <c r="B34" s="47" t="s">
        <v>241</v>
      </c>
      <c r="C34" s="47" t="s">
        <v>242</v>
      </c>
      <c r="D34" s="202">
        <v>4</v>
      </c>
      <c r="E34" s="202">
        <v>7</v>
      </c>
      <c r="F34" s="47"/>
    </row>
    <row r="35" spans="1:6" ht="18" customHeight="1" x14ac:dyDescent="0.15">
      <c r="A35" s="47">
        <v>4</v>
      </c>
      <c r="B35" s="47" t="s">
        <v>243</v>
      </c>
      <c r="C35" s="47" t="s">
        <v>244</v>
      </c>
      <c r="D35" s="202"/>
      <c r="E35" s="202"/>
      <c r="F35" s="47"/>
    </row>
    <row r="36" spans="1:6" ht="18" customHeight="1" x14ac:dyDescent="0.15">
      <c r="A36" s="47" t="s">
        <v>104</v>
      </c>
      <c r="B36" s="47" t="s">
        <v>245</v>
      </c>
      <c r="C36" s="47" t="s">
        <v>246</v>
      </c>
      <c r="D36" s="202">
        <v>5</v>
      </c>
      <c r="E36" s="202">
        <v>9</v>
      </c>
      <c r="F36" s="47"/>
    </row>
    <row r="37" spans="1:6" ht="18" customHeight="1" x14ac:dyDescent="0.15">
      <c r="A37" s="47" t="s">
        <v>106</v>
      </c>
      <c r="B37" s="47" t="s">
        <v>247</v>
      </c>
      <c r="C37" s="47" t="s">
        <v>248</v>
      </c>
      <c r="D37" s="202">
        <v>3</v>
      </c>
      <c r="E37" s="202">
        <v>5</v>
      </c>
      <c r="F37" s="47"/>
    </row>
    <row r="38" spans="1:6" ht="18" customHeight="1" x14ac:dyDescent="0.15">
      <c r="A38" s="47" t="s">
        <v>108</v>
      </c>
      <c r="B38" s="47" t="s">
        <v>249</v>
      </c>
      <c r="C38" s="47" t="s">
        <v>250</v>
      </c>
      <c r="D38" s="202">
        <v>4</v>
      </c>
      <c r="E38" s="202">
        <v>7</v>
      </c>
      <c r="F38" s="47"/>
    </row>
    <row r="39" spans="1:6" ht="18" customHeight="1" x14ac:dyDescent="0.15">
      <c r="A39" s="47" t="s">
        <v>110</v>
      </c>
      <c r="B39" s="47" t="s">
        <v>251</v>
      </c>
      <c r="C39" s="47" t="s">
        <v>252</v>
      </c>
      <c r="D39" s="202">
        <v>5</v>
      </c>
      <c r="E39" s="202">
        <v>9</v>
      </c>
      <c r="F39" s="47"/>
    </row>
    <row r="40" spans="1:6" ht="18" customHeight="1" x14ac:dyDescent="0.15">
      <c r="A40" s="49" t="s">
        <v>253</v>
      </c>
      <c r="B40" s="47" t="s">
        <v>254</v>
      </c>
      <c r="C40" s="47" t="s">
        <v>255</v>
      </c>
      <c r="D40" s="203">
        <v>5</v>
      </c>
      <c r="E40" s="204">
        <v>9</v>
      </c>
      <c r="F40" s="50"/>
    </row>
    <row r="41" spans="1:6" ht="18" customHeight="1" x14ac:dyDescent="0.15">
      <c r="A41" s="48" t="s">
        <v>256</v>
      </c>
      <c r="B41" s="47" t="s">
        <v>257</v>
      </c>
      <c r="C41" s="47" t="s">
        <v>258</v>
      </c>
      <c r="D41" s="203">
        <v>6</v>
      </c>
      <c r="E41" s="204">
        <v>10</v>
      </c>
      <c r="F41" s="50"/>
    </row>
    <row r="42" spans="1:6" ht="18" customHeight="1" x14ac:dyDescent="0.15">
      <c r="A42" s="49">
        <v>5</v>
      </c>
      <c r="B42" s="47" t="s">
        <v>259</v>
      </c>
      <c r="C42" s="47"/>
      <c r="D42" s="203"/>
      <c r="E42" s="204"/>
      <c r="F42" s="50"/>
    </row>
    <row r="43" spans="1:6" ht="18" customHeight="1" x14ac:dyDescent="0.15">
      <c r="A43" s="51" t="s">
        <v>113</v>
      </c>
      <c r="B43" s="47" t="s">
        <v>260</v>
      </c>
      <c r="C43" s="47" t="s">
        <v>261</v>
      </c>
      <c r="D43" s="203">
        <v>7</v>
      </c>
      <c r="E43" s="204">
        <v>12</v>
      </c>
      <c r="F43" s="50"/>
    </row>
    <row r="44" spans="1:6" ht="18" customHeight="1" x14ac:dyDescent="0.15">
      <c r="A44" s="51" t="s">
        <v>115</v>
      </c>
      <c r="B44" s="47" t="s">
        <v>262</v>
      </c>
      <c r="C44" s="47" t="s">
        <v>263</v>
      </c>
      <c r="D44" s="203">
        <v>5</v>
      </c>
      <c r="E44" s="204">
        <v>9</v>
      </c>
      <c r="F44" s="50"/>
    </row>
    <row r="45" spans="1:6" ht="18" customHeight="1" x14ac:dyDescent="0.15">
      <c r="A45" s="51" t="s">
        <v>117</v>
      </c>
      <c r="B45" s="47" t="s">
        <v>264</v>
      </c>
      <c r="C45" s="47" t="s">
        <v>265</v>
      </c>
      <c r="D45" s="203">
        <v>6</v>
      </c>
      <c r="E45" s="204">
        <v>10</v>
      </c>
      <c r="F45" s="50"/>
    </row>
    <row r="46" spans="1:6" ht="18" customHeight="1" x14ac:dyDescent="0.15">
      <c r="A46" s="51" t="s">
        <v>266</v>
      </c>
      <c r="B46" s="47" t="s">
        <v>267</v>
      </c>
      <c r="C46" s="47"/>
      <c r="D46" s="203"/>
      <c r="E46" s="204"/>
      <c r="F46" s="50"/>
    </row>
    <row r="47" spans="1:6" ht="18" customHeight="1" x14ac:dyDescent="0.15">
      <c r="A47" s="51" t="s">
        <v>268</v>
      </c>
      <c r="B47" s="47" t="s">
        <v>269</v>
      </c>
      <c r="C47" s="47" t="s">
        <v>270</v>
      </c>
      <c r="D47" s="203">
        <v>3</v>
      </c>
      <c r="E47" s="204">
        <v>5</v>
      </c>
      <c r="F47" s="50"/>
    </row>
    <row r="48" spans="1:6" ht="40" customHeight="1" x14ac:dyDescent="0.15">
      <c r="A48" s="52" t="s">
        <v>271</v>
      </c>
      <c r="B48" s="279" t="s">
        <v>272</v>
      </c>
      <c r="C48" s="280" t="s">
        <v>273</v>
      </c>
      <c r="D48" s="281">
        <v>4</v>
      </c>
      <c r="E48" s="281">
        <v>7</v>
      </c>
      <c r="F48" s="284"/>
    </row>
    <row r="49" spans="1:12" ht="18" customHeight="1" x14ac:dyDescent="0.15">
      <c r="A49" s="53" t="s">
        <v>274</v>
      </c>
      <c r="B49" s="54" t="s">
        <v>275</v>
      </c>
      <c r="C49" s="54" t="s">
        <v>276</v>
      </c>
      <c r="D49" s="206">
        <v>3</v>
      </c>
      <c r="E49" s="207">
        <v>5</v>
      </c>
      <c r="F49" s="47"/>
    </row>
    <row r="50" spans="1:12" ht="18" customHeight="1" x14ac:dyDescent="0.15">
      <c r="A50" s="53" t="s">
        <v>277</v>
      </c>
      <c r="B50" s="54" t="s">
        <v>278</v>
      </c>
      <c r="C50" s="54" t="s">
        <v>279</v>
      </c>
      <c r="D50" s="206">
        <v>5</v>
      </c>
      <c r="E50" s="207">
        <v>8</v>
      </c>
      <c r="F50" s="47"/>
    </row>
    <row r="51" spans="1:12" ht="18" customHeight="1" x14ac:dyDescent="0.15">
      <c r="A51" s="53"/>
      <c r="B51" s="54"/>
      <c r="C51" s="54"/>
      <c r="D51" s="206"/>
      <c r="E51" s="207"/>
      <c r="F51" s="47"/>
    </row>
    <row r="52" spans="1:12" ht="18" customHeight="1" x14ac:dyDescent="0.15">
      <c r="A52" s="53"/>
      <c r="B52" s="54"/>
      <c r="C52" s="54"/>
      <c r="D52" s="206"/>
      <c r="E52" s="207"/>
      <c r="F52" s="47"/>
      <c r="L52" s="55"/>
    </row>
    <row r="53" spans="1:12" ht="30" customHeight="1" x14ac:dyDescent="0.15">
      <c r="A53" s="56"/>
      <c r="B53" s="57" t="s">
        <v>280</v>
      </c>
      <c r="C53" s="57"/>
      <c r="D53" s="208">
        <f>SUM(D12:D52)</f>
        <v>150</v>
      </c>
      <c r="E53" s="209">
        <f>SUM(E12:E52)</f>
        <v>260</v>
      </c>
      <c r="F53" s="58"/>
    </row>
    <row r="54" spans="1:12" ht="18" customHeight="1" x14ac:dyDescent="0.15"/>
    <row r="55" spans="1:12" ht="18" customHeight="1" x14ac:dyDescent="0.15"/>
    <row r="56" spans="1:12" ht="18" customHeight="1" x14ac:dyDescent="0.15"/>
    <row r="57" spans="1:12" ht="18" customHeight="1" x14ac:dyDescent="0.15"/>
    <row r="58" spans="1:12" ht="18" customHeight="1" x14ac:dyDescent="0.15"/>
    <row r="59" spans="1:12" ht="18" customHeight="1" x14ac:dyDescent="0.15"/>
    <row r="60" spans="1:12" ht="18" customHeight="1" x14ac:dyDescent="0.15"/>
    <row r="61" spans="1:12" ht="18" customHeight="1" x14ac:dyDescent="0.15"/>
    <row r="62" spans="1:12" ht="18" customHeight="1" x14ac:dyDescent="0.15"/>
    <row r="63" spans="1:12" ht="18" customHeight="1" x14ac:dyDescent="0.15"/>
    <row r="64" spans="1:12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  <row r="549" ht="18" customHeight="1" x14ac:dyDescent="0.15"/>
    <row r="550" ht="18" customHeight="1" x14ac:dyDescent="0.15"/>
    <row r="551" ht="18" customHeight="1" x14ac:dyDescent="0.15"/>
    <row r="552" ht="18" customHeight="1" x14ac:dyDescent="0.15"/>
    <row r="553" ht="18" customHeight="1" x14ac:dyDescent="0.15"/>
    <row r="554" ht="18" customHeight="1" x14ac:dyDescent="0.15"/>
    <row r="555" ht="18" customHeight="1" x14ac:dyDescent="0.15"/>
    <row r="556" ht="18" customHeight="1" x14ac:dyDescent="0.15"/>
    <row r="557" ht="18" customHeight="1" x14ac:dyDescent="0.15"/>
    <row r="558" ht="18" customHeight="1" x14ac:dyDescent="0.15"/>
    <row r="559" ht="18" customHeight="1" x14ac:dyDescent="0.15"/>
    <row r="560" ht="18" customHeight="1" x14ac:dyDescent="0.15"/>
    <row r="561" ht="18" customHeight="1" x14ac:dyDescent="0.15"/>
    <row r="562" ht="18" customHeight="1" x14ac:dyDescent="0.15"/>
    <row r="563" ht="18" customHeight="1" x14ac:dyDescent="0.15"/>
    <row r="564" ht="18" customHeight="1" x14ac:dyDescent="0.15"/>
    <row r="565" ht="18" customHeight="1" x14ac:dyDescent="0.15"/>
    <row r="566" ht="18" customHeight="1" x14ac:dyDescent="0.15"/>
    <row r="567" ht="18" customHeight="1" x14ac:dyDescent="0.15"/>
    <row r="568" ht="18" customHeight="1" x14ac:dyDescent="0.15"/>
    <row r="569" ht="18" customHeight="1" x14ac:dyDescent="0.15"/>
    <row r="570" ht="18" customHeight="1" x14ac:dyDescent="0.15"/>
    <row r="571" ht="18" customHeight="1" x14ac:dyDescent="0.15"/>
    <row r="572" ht="18" customHeight="1" x14ac:dyDescent="0.15"/>
    <row r="573" ht="18" customHeight="1" x14ac:dyDescent="0.15"/>
    <row r="574" ht="18" customHeight="1" x14ac:dyDescent="0.15"/>
    <row r="575" ht="18" customHeight="1" x14ac:dyDescent="0.15"/>
    <row r="576" ht="18" customHeight="1" x14ac:dyDescent="0.15"/>
    <row r="577" ht="18" customHeight="1" x14ac:dyDescent="0.15"/>
    <row r="578" ht="18" customHeight="1" x14ac:dyDescent="0.15"/>
    <row r="579" ht="18" customHeight="1" x14ac:dyDescent="0.15"/>
    <row r="580" ht="18" customHeight="1" x14ac:dyDescent="0.15"/>
    <row r="581" ht="18" customHeight="1" x14ac:dyDescent="0.15"/>
    <row r="582" ht="18" customHeight="1" x14ac:dyDescent="0.15"/>
    <row r="583" ht="18" customHeight="1" x14ac:dyDescent="0.15"/>
    <row r="584" ht="18" customHeight="1" x14ac:dyDescent="0.15"/>
    <row r="585" ht="18" customHeight="1" x14ac:dyDescent="0.15"/>
    <row r="586" ht="18" customHeight="1" x14ac:dyDescent="0.15"/>
    <row r="587" ht="18" customHeight="1" x14ac:dyDescent="0.15"/>
    <row r="588" ht="18" customHeight="1" x14ac:dyDescent="0.15"/>
    <row r="589" ht="18" customHeight="1" x14ac:dyDescent="0.15"/>
    <row r="590" ht="18" customHeight="1" x14ac:dyDescent="0.15"/>
    <row r="591" ht="18" customHeight="1" x14ac:dyDescent="0.15"/>
    <row r="592" ht="18" customHeight="1" x14ac:dyDescent="0.15"/>
    <row r="593" ht="18" customHeight="1" x14ac:dyDescent="0.15"/>
    <row r="594" ht="18" customHeight="1" x14ac:dyDescent="0.15"/>
    <row r="595" ht="18" customHeight="1" x14ac:dyDescent="0.15"/>
    <row r="596" ht="18" customHeight="1" x14ac:dyDescent="0.15"/>
    <row r="597" ht="18" customHeight="1" x14ac:dyDescent="0.15"/>
    <row r="598" ht="18" customHeight="1" x14ac:dyDescent="0.15"/>
    <row r="599" ht="18" customHeight="1" x14ac:dyDescent="0.15"/>
    <row r="600" ht="18" customHeight="1" x14ac:dyDescent="0.15"/>
    <row r="601" ht="18" customHeight="1" x14ac:dyDescent="0.15"/>
    <row r="602" ht="18" customHeight="1" x14ac:dyDescent="0.15"/>
    <row r="603" ht="18" customHeight="1" x14ac:dyDescent="0.15"/>
    <row r="604" ht="18" customHeight="1" x14ac:dyDescent="0.15"/>
    <row r="605" ht="18" customHeight="1" x14ac:dyDescent="0.15"/>
    <row r="606" ht="18" customHeight="1" x14ac:dyDescent="0.15"/>
    <row r="607" ht="18" customHeight="1" x14ac:dyDescent="0.15"/>
    <row r="608" ht="18" customHeight="1" x14ac:dyDescent="0.15"/>
    <row r="609" ht="18" customHeight="1" x14ac:dyDescent="0.15"/>
    <row r="610" ht="18" customHeight="1" x14ac:dyDescent="0.15"/>
    <row r="611" ht="18" customHeight="1" x14ac:dyDescent="0.15"/>
    <row r="612" ht="18" customHeight="1" x14ac:dyDescent="0.15"/>
    <row r="613" ht="18" customHeight="1" x14ac:dyDescent="0.15"/>
    <row r="614" ht="18" customHeight="1" x14ac:dyDescent="0.15"/>
    <row r="615" ht="18" customHeight="1" x14ac:dyDescent="0.15"/>
    <row r="616" ht="18" customHeight="1" x14ac:dyDescent="0.15"/>
    <row r="617" ht="18" customHeight="1" x14ac:dyDescent="0.15"/>
    <row r="618" ht="18" customHeight="1" x14ac:dyDescent="0.15"/>
    <row r="619" ht="18" customHeight="1" x14ac:dyDescent="0.15"/>
    <row r="620" ht="18" customHeight="1" x14ac:dyDescent="0.15"/>
    <row r="621" ht="18" customHeight="1" x14ac:dyDescent="0.15"/>
    <row r="622" ht="18" customHeight="1" x14ac:dyDescent="0.15"/>
    <row r="623" ht="18" customHeight="1" x14ac:dyDescent="0.15"/>
    <row r="624" ht="18" customHeight="1" x14ac:dyDescent="0.15"/>
    <row r="625" ht="18" customHeight="1" x14ac:dyDescent="0.15"/>
    <row r="626" ht="18" customHeight="1" x14ac:dyDescent="0.15"/>
    <row r="627" ht="18" customHeight="1" x14ac:dyDescent="0.15"/>
    <row r="628" ht="18" customHeight="1" x14ac:dyDescent="0.15"/>
    <row r="629" ht="18" customHeight="1" x14ac:dyDescent="0.15"/>
    <row r="630" ht="18" customHeight="1" x14ac:dyDescent="0.15"/>
    <row r="631" ht="18" customHeight="1" x14ac:dyDescent="0.15"/>
    <row r="632" ht="18" customHeight="1" x14ac:dyDescent="0.15"/>
    <row r="633" ht="18" customHeight="1" x14ac:dyDescent="0.15"/>
    <row r="634" ht="18" customHeight="1" x14ac:dyDescent="0.15"/>
    <row r="635" ht="18" customHeight="1" x14ac:dyDescent="0.15"/>
    <row r="636" ht="18" customHeight="1" x14ac:dyDescent="0.15"/>
    <row r="637" ht="18" customHeight="1" x14ac:dyDescent="0.15"/>
    <row r="638" ht="18" customHeight="1" x14ac:dyDescent="0.15"/>
    <row r="639" ht="18" customHeight="1" x14ac:dyDescent="0.15"/>
    <row r="640" ht="18" customHeight="1" x14ac:dyDescent="0.15"/>
    <row r="641" ht="18" customHeight="1" x14ac:dyDescent="0.15"/>
    <row r="642" ht="18" customHeight="1" x14ac:dyDescent="0.15"/>
    <row r="643" ht="18" customHeight="1" x14ac:dyDescent="0.15"/>
    <row r="644" ht="18" customHeight="1" x14ac:dyDescent="0.15"/>
    <row r="645" ht="18" customHeight="1" x14ac:dyDescent="0.15"/>
    <row r="646" ht="18" customHeight="1" x14ac:dyDescent="0.15"/>
    <row r="647" ht="18" customHeight="1" x14ac:dyDescent="0.15"/>
    <row r="648" ht="18" customHeight="1" x14ac:dyDescent="0.15"/>
    <row r="649" ht="18" customHeight="1" x14ac:dyDescent="0.15"/>
    <row r="650" ht="18" customHeight="1" x14ac:dyDescent="0.15"/>
    <row r="651" ht="18" customHeight="1" x14ac:dyDescent="0.15"/>
    <row r="652" ht="18" customHeight="1" x14ac:dyDescent="0.15"/>
    <row r="653" ht="18" customHeight="1" x14ac:dyDescent="0.15"/>
    <row r="654" ht="18" customHeight="1" x14ac:dyDescent="0.15"/>
    <row r="655" ht="18" customHeight="1" x14ac:dyDescent="0.15"/>
    <row r="656" ht="18" customHeight="1" x14ac:dyDescent="0.15"/>
    <row r="657" ht="18" customHeight="1" x14ac:dyDescent="0.15"/>
    <row r="658" ht="18" customHeight="1" x14ac:dyDescent="0.15"/>
    <row r="659" ht="18" customHeight="1" x14ac:dyDescent="0.15"/>
    <row r="660" ht="18" customHeight="1" x14ac:dyDescent="0.15"/>
    <row r="661" ht="18" customHeight="1" x14ac:dyDescent="0.15"/>
    <row r="662" ht="18" customHeight="1" x14ac:dyDescent="0.15"/>
    <row r="663" ht="18" customHeight="1" x14ac:dyDescent="0.15"/>
    <row r="664" ht="18" customHeight="1" x14ac:dyDescent="0.15"/>
    <row r="665" ht="18" customHeight="1" x14ac:dyDescent="0.15"/>
    <row r="666" ht="18" customHeight="1" x14ac:dyDescent="0.15"/>
    <row r="667" ht="18" customHeight="1" x14ac:dyDescent="0.15"/>
    <row r="668" ht="18" customHeight="1" x14ac:dyDescent="0.15"/>
    <row r="669" ht="18" customHeight="1" x14ac:dyDescent="0.15"/>
    <row r="670" ht="18" customHeight="1" x14ac:dyDescent="0.15"/>
    <row r="671" ht="18" customHeight="1" x14ac:dyDescent="0.15"/>
    <row r="672" ht="18" customHeight="1" x14ac:dyDescent="0.15"/>
    <row r="673" ht="18" customHeight="1" x14ac:dyDescent="0.15"/>
    <row r="674" ht="18" customHeight="1" x14ac:dyDescent="0.15"/>
    <row r="675" ht="18" customHeight="1" x14ac:dyDescent="0.15"/>
    <row r="676" ht="18" customHeight="1" x14ac:dyDescent="0.15"/>
    <row r="677" ht="18" customHeight="1" x14ac:dyDescent="0.15"/>
    <row r="678" ht="18" customHeight="1" x14ac:dyDescent="0.15"/>
    <row r="679" ht="18" customHeight="1" x14ac:dyDescent="0.15"/>
    <row r="680" ht="18" customHeight="1" x14ac:dyDescent="0.15"/>
    <row r="681" ht="18" customHeight="1" x14ac:dyDescent="0.15"/>
    <row r="682" ht="18" customHeight="1" x14ac:dyDescent="0.15"/>
    <row r="683" ht="18" customHeight="1" x14ac:dyDescent="0.15"/>
    <row r="684" ht="18" customHeight="1" x14ac:dyDescent="0.15"/>
    <row r="685" ht="18" customHeight="1" x14ac:dyDescent="0.15"/>
    <row r="686" ht="18" customHeight="1" x14ac:dyDescent="0.15"/>
    <row r="687" ht="18" customHeight="1" x14ac:dyDescent="0.15"/>
    <row r="688" ht="18" customHeight="1" x14ac:dyDescent="0.15"/>
    <row r="689" ht="18" customHeight="1" x14ac:dyDescent="0.15"/>
    <row r="690" ht="18" customHeight="1" x14ac:dyDescent="0.15"/>
    <row r="691" ht="18" customHeight="1" x14ac:dyDescent="0.15"/>
    <row r="692" ht="18" customHeight="1" x14ac:dyDescent="0.15"/>
    <row r="693" ht="18" customHeight="1" x14ac:dyDescent="0.15"/>
    <row r="694" ht="18" customHeight="1" x14ac:dyDescent="0.15"/>
    <row r="695" ht="18" customHeight="1" x14ac:dyDescent="0.15"/>
    <row r="696" ht="18" customHeight="1" x14ac:dyDescent="0.15"/>
    <row r="697" ht="18" customHeight="1" x14ac:dyDescent="0.15"/>
    <row r="698" ht="18" customHeight="1" x14ac:dyDescent="0.15"/>
    <row r="699" ht="18" customHeight="1" x14ac:dyDescent="0.15"/>
    <row r="700" ht="18" customHeight="1" x14ac:dyDescent="0.15"/>
    <row r="701" ht="18" customHeight="1" x14ac:dyDescent="0.15"/>
    <row r="702" ht="18" customHeight="1" x14ac:dyDescent="0.15"/>
    <row r="703" ht="18" customHeight="1" x14ac:dyDescent="0.15"/>
    <row r="704" ht="18" customHeight="1" x14ac:dyDescent="0.15"/>
    <row r="705" ht="18" customHeight="1" x14ac:dyDescent="0.15"/>
    <row r="706" ht="18" customHeight="1" x14ac:dyDescent="0.15"/>
    <row r="707" ht="18" customHeight="1" x14ac:dyDescent="0.15"/>
    <row r="708" ht="18" customHeight="1" x14ac:dyDescent="0.15"/>
    <row r="709" ht="18" customHeight="1" x14ac:dyDescent="0.15"/>
    <row r="710" ht="18" customHeight="1" x14ac:dyDescent="0.15"/>
    <row r="711" ht="18" customHeight="1" x14ac:dyDescent="0.15"/>
    <row r="712" ht="18" customHeight="1" x14ac:dyDescent="0.15"/>
    <row r="713" ht="18" customHeight="1" x14ac:dyDescent="0.15"/>
    <row r="714" ht="18" customHeight="1" x14ac:dyDescent="0.15"/>
    <row r="715" ht="18" customHeight="1" x14ac:dyDescent="0.15"/>
    <row r="716" ht="18" customHeight="1" x14ac:dyDescent="0.15"/>
    <row r="717" ht="18" customHeight="1" x14ac:dyDescent="0.15"/>
    <row r="718" ht="18" customHeight="1" x14ac:dyDescent="0.15"/>
    <row r="719" ht="18" customHeight="1" x14ac:dyDescent="0.15"/>
    <row r="720" ht="18" customHeight="1" x14ac:dyDescent="0.15"/>
    <row r="721" ht="18" customHeight="1" x14ac:dyDescent="0.15"/>
    <row r="722" ht="18" customHeight="1" x14ac:dyDescent="0.15"/>
    <row r="723" ht="18" customHeight="1" x14ac:dyDescent="0.15"/>
    <row r="724" ht="18" customHeight="1" x14ac:dyDescent="0.15"/>
    <row r="725" ht="18" customHeight="1" x14ac:dyDescent="0.15"/>
    <row r="726" ht="18" customHeight="1" x14ac:dyDescent="0.15"/>
    <row r="727" ht="18" customHeight="1" x14ac:dyDescent="0.15"/>
    <row r="728" ht="18" customHeight="1" x14ac:dyDescent="0.15"/>
    <row r="729" ht="18" customHeight="1" x14ac:dyDescent="0.15"/>
    <row r="730" ht="18" customHeight="1" x14ac:dyDescent="0.15"/>
    <row r="731" ht="18" customHeight="1" x14ac:dyDescent="0.15"/>
    <row r="732" ht="18" customHeight="1" x14ac:dyDescent="0.15"/>
    <row r="733" ht="18" customHeight="1" x14ac:dyDescent="0.15"/>
    <row r="734" ht="18" customHeight="1" x14ac:dyDescent="0.15"/>
    <row r="735" ht="18" customHeight="1" x14ac:dyDescent="0.15"/>
    <row r="736" ht="18" customHeight="1" x14ac:dyDescent="0.15"/>
    <row r="737" ht="18" customHeight="1" x14ac:dyDescent="0.15"/>
    <row r="738" ht="18" customHeight="1" x14ac:dyDescent="0.15"/>
    <row r="739" ht="18" customHeight="1" x14ac:dyDescent="0.15"/>
    <row r="740" ht="18" customHeight="1" x14ac:dyDescent="0.15"/>
    <row r="741" ht="18" customHeight="1" x14ac:dyDescent="0.15"/>
    <row r="742" ht="18" customHeight="1" x14ac:dyDescent="0.15"/>
    <row r="743" ht="18" customHeight="1" x14ac:dyDescent="0.15"/>
    <row r="744" ht="18" customHeight="1" x14ac:dyDescent="0.15"/>
    <row r="745" ht="18" customHeight="1" x14ac:dyDescent="0.15"/>
    <row r="746" ht="18" customHeight="1" x14ac:dyDescent="0.15"/>
    <row r="747" ht="18" customHeight="1" x14ac:dyDescent="0.15"/>
    <row r="748" ht="18" customHeight="1" x14ac:dyDescent="0.15"/>
    <row r="749" ht="18" customHeight="1" x14ac:dyDescent="0.15"/>
    <row r="750" ht="18" customHeight="1" x14ac:dyDescent="0.15"/>
    <row r="751" ht="18" customHeight="1" x14ac:dyDescent="0.15"/>
    <row r="752" ht="18" customHeight="1" x14ac:dyDescent="0.15"/>
    <row r="753" ht="18" customHeight="1" x14ac:dyDescent="0.15"/>
    <row r="754" ht="18" customHeight="1" x14ac:dyDescent="0.15"/>
    <row r="755" ht="18" customHeight="1" x14ac:dyDescent="0.15"/>
    <row r="756" ht="18" customHeight="1" x14ac:dyDescent="0.15"/>
    <row r="757" ht="18" customHeight="1" x14ac:dyDescent="0.15"/>
    <row r="758" ht="18" customHeight="1" x14ac:dyDescent="0.15"/>
    <row r="759" ht="18" customHeight="1" x14ac:dyDescent="0.15"/>
    <row r="760" ht="18" customHeight="1" x14ac:dyDescent="0.15"/>
    <row r="761" ht="18" customHeight="1" x14ac:dyDescent="0.15"/>
    <row r="762" ht="18" customHeight="1" x14ac:dyDescent="0.15"/>
    <row r="763" ht="18" customHeight="1" x14ac:dyDescent="0.15"/>
    <row r="764" ht="18" customHeight="1" x14ac:dyDescent="0.15"/>
    <row r="765" ht="18" customHeight="1" x14ac:dyDescent="0.15"/>
    <row r="766" ht="18" customHeight="1" x14ac:dyDescent="0.15"/>
    <row r="767" ht="18" customHeight="1" x14ac:dyDescent="0.15"/>
    <row r="768" ht="18" customHeight="1" x14ac:dyDescent="0.15"/>
    <row r="769" ht="18" customHeight="1" x14ac:dyDescent="0.15"/>
    <row r="770" ht="18" customHeight="1" x14ac:dyDescent="0.15"/>
    <row r="771" ht="18" customHeight="1" x14ac:dyDescent="0.15"/>
    <row r="772" ht="18" customHeight="1" x14ac:dyDescent="0.15"/>
    <row r="773" ht="18" customHeight="1" x14ac:dyDescent="0.15"/>
    <row r="774" ht="18" customHeight="1" x14ac:dyDescent="0.15"/>
    <row r="775" ht="18" customHeight="1" x14ac:dyDescent="0.15"/>
    <row r="776" ht="18" customHeight="1" x14ac:dyDescent="0.15"/>
    <row r="777" ht="18" customHeight="1" x14ac:dyDescent="0.15"/>
    <row r="778" ht="18" customHeight="1" x14ac:dyDescent="0.15"/>
    <row r="779" ht="18" customHeight="1" x14ac:dyDescent="0.15"/>
    <row r="780" ht="18" customHeight="1" x14ac:dyDescent="0.15"/>
    <row r="781" ht="18" customHeight="1" x14ac:dyDescent="0.15"/>
    <row r="782" ht="18" customHeight="1" x14ac:dyDescent="0.15"/>
    <row r="783" ht="18" customHeight="1" x14ac:dyDescent="0.15"/>
    <row r="784" ht="18" customHeight="1" x14ac:dyDescent="0.15"/>
    <row r="785" ht="18" customHeight="1" x14ac:dyDescent="0.15"/>
    <row r="786" ht="18" customHeight="1" x14ac:dyDescent="0.15"/>
    <row r="787" ht="18" customHeight="1" x14ac:dyDescent="0.15"/>
    <row r="788" ht="18" customHeight="1" x14ac:dyDescent="0.15"/>
    <row r="789" ht="18" customHeight="1" x14ac:dyDescent="0.15"/>
    <row r="790" ht="18" customHeight="1" x14ac:dyDescent="0.15"/>
    <row r="791" ht="18" customHeight="1" x14ac:dyDescent="0.15"/>
    <row r="792" ht="18" customHeight="1" x14ac:dyDescent="0.15"/>
    <row r="793" ht="18" customHeight="1" x14ac:dyDescent="0.15"/>
    <row r="794" ht="18" customHeight="1" x14ac:dyDescent="0.15"/>
    <row r="795" ht="18" customHeight="1" x14ac:dyDescent="0.15"/>
    <row r="796" ht="18" customHeight="1" x14ac:dyDescent="0.15"/>
    <row r="797" ht="18" customHeight="1" x14ac:dyDescent="0.15"/>
    <row r="798" ht="18" customHeight="1" x14ac:dyDescent="0.15"/>
    <row r="799" ht="18" customHeight="1" x14ac:dyDescent="0.15"/>
    <row r="800" ht="18" customHeight="1" x14ac:dyDescent="0.15"/>
    <row r="801" ht="18" customHeight="1" x14ac:dyDescent="0.15"/>
    <row r="802" ht="18" customHeight="1" x14ac:dyDescent="0.15"/>
    <row r="803" ht="18" customHeight="1" x14ac:dyDescent="0.15"/>
    <row r="804" ht="18" customHeight="1" x14ac:dyDescent="0.15"/>
    <row r="805" ht="18" customHeight="1" x14ac:dyDescent="0.15"/>
    <row r="806" ht="18" customHeight="1" x14ac:dyDescent="0.15"/>
    <row r="807" ht="18" customHeight="1" x14ac:dyDescent="0.15"/>
    <row r="808" ht="18" customHeight="1" x14ac:dyDescent="0.15"/>
    <row r="809" ht="18" customHeight="1" x14ac:dyDescent="0.15"/>
    <row r="810" ht="18" customHeight="1" x14ac:dyDescent="0.15"/>
    <row r="811" ht="18" customHeight="1" x14ac:dyDescent="0.15"/>
    <row r="812" ht="18" customHeight="1" x14ac:dyDescent="0.15"/>
    <row r="813" ht="18" customHeight="1" x14ac:dyDescent="0.15"/>
    <row r="814" ht="18" customHeight="1" x14ac:dyDescent="0.15"/>
    <row r="815" ht="18" customHeight="1" x14ac:dyDescent="0.15"/>
    <row r="816" ht="18" customHeight="1" x14ac:dyDescent="0.15"/>
    <row r="817" ht="18" customHeight="1" x14ac:dyDescent="0.15"/>
    <row r="818" ht="18" customHeight="1" x14ac:dyDescent="0.15"/>
    <row r="819" ht="18" customHeight="1" x14ac:dyDescent="0.15"/>
    <row r="820" ht="18" customHeight="1" x14ac:dyDescent="0.15"/>
    <row r="821" ht="18" customHeight="1" x14ac:dyDescent="0.15"/>
    <row r="822" ht="18" customHeight="1" x14ac:dyDescent="0.15"/>
    <row r="823" ht="18" customHeight="1" x14ac:dyDescent="0.15"/>
    <row r="824" ht="18" customHeight="1" x14ac:dyDescent="0.15"/>
    <row r="825" ht="18" customHeight="1" x14ac:dyDescent="0.15"/>
    <row r="826" ht="18" customHeight="1" x14ac:dyDescent="0.15"/>
    <row r="827" ht="18" customHeight="1" x14ac:dyDescent="0.15"/>
    <row r="828" ht="18" customHeight="1" x14ac:dyDescent="0.15"/>
    <row r="829" ht="18" customHeight="1" x14ac:dyDescent="0.15"/>
    <row r="830" ht="18" customHeight="1" x14ac:dyDescent="0.15"/>
    <row r="831" ht="18" customHeight="1" x14ac:dyDescent="0.15"/>
    <row r="832" ht="18" customHeight="1" x14ac:dyDescent="0.15"/>
    <row r="833" ht="18" customHeight="1" x14ac:dyDescent="0.15"/>
    <row r="834" ht="18" customHeight="1" x14ac:dyDescent="0.15"/>
    <row r="835" ht="18" customHeight="1" x14ac:dyDescent="0.15"/>
    <row r="836" ht="18" customHeight="1" x14ac:dyDescent="0.15"/>
    <row r="837" ht="18" customHeight="1" x14ac:dyDescent="0.15"/>
    <row r="838" ht="18" customHeight="1" x14ac:dyDescent="0.15"/>
    <row r="839" ht="18" customHeight="1" x14ac:dyDescent="0.15"/>
    <row r="840" ht="18" customHeight="1" x14ac:dyDescent="0.15"/>
    <row r="841" ht="18" customHeight="1" x14ac:dyDescent="0.15"/>
    <row r="842" ht="18" customHeight="1" x14ac:dyDescent="0.15"/>
    <row r="843" ht="18" customHeight="1" x14ac:dyDescent="0.15"/>
    <row r="844" ht="18" customHeight="1" x14ac:dyDescent="0.15"/>
    <row r="845" ht="18" customHeight="1" x14ac:dyDescent="0.15"/>
    <row r="846" ht="18" customHeight="1" x14ac:dyDescent="0.15"/>
    <row r="847" ht="18" customHeight="1" x14ac:dyDescent="0.15"/>
    <row r="848" ht="18" customHeight="1" x14ac:dyDescent="0.15"/>
    <row r="849" ht="18" customHeight="1" x14ac:dyDescent="0.15"/>
    <row r="850" ht="18" customHeight="1" x14ac:dyDescent="0.15"/>
    <row r="851" ht="18" customHeight="1" x14ac:dyDescent="0.15"/>
    <row r="852" ht="18" customHeight="1" x14ac:dyDescent="0.15"/>
    <row r="853" ht="18" customHeight="1" x14ac:dyDescent="0.15"/>
    <row r="854" ht="18" customHeight="1" x14ac:dyDescent="0.15"/>
    <row r="855" ht="18" customHeight="1" x14ac:dyDescent="0.15"/>
    <row r="856" ht="18" customHeight="1" x14ac:dyDescent="0.15"/>
    <row r="857" ht="18" customHeight="1" x14ac:dyDescent="0.15"/>
    <row r="858" ht="18" customHeight="1" x14ac:dyDescent="0.15"/>
    <row r="859" ht="18" customHeight="1" x14ac:dyDescent="0.15"/>
    <row r="860" ht="18" customHeight="1" x14ac:dyDescent="0.15"/>
    <row r="861" ht="18" customHeight="1" x14ac:dyDescent="0.15"/>
    <row r="862" ht="18" customHeight="1" x14ac:dyDescent="0.15"/>
    <row r="863" ht="18" customHeight="1" x14ac:dyDescent="0.15"/>
    <row r="864" ht="18" customHeight="1" x14ac:dyDescent="0.15"/>
    <row r="865" ht="18" customHeight="1" x14ac:dyDescent="0.15"/>
    <row r="866" ht="18" customHeight="1" x14ac:dyDescent="0.15"/>
    <row r="867" ht="18" customHeight="1" x14ac:dyDescent="0.15"/>
    <row r="868" ht="18" customHeight="1" x14ac:dyDescent="0.15"/>
    <row r="869" ht="18" customHeight="1" x14ac:dyDescent="0.15"/>
    <row r="870" ht="18" customHeight="1" x14ac:dyDescent="0.15"/>
    <row r="871" ht="18" customHeight="1" x14ac:dyDescent="0.15"/>
    <row r="872" ht="18" customHeight="1" x14ac:dyDescent="0.15"/>
    <row r="873" ht="18" customHeight="1" x14ac:dyDescent="0.15"/>
    <row r="874" ht="18" customHeight="1" x14ac:dyDescent="0.15"/>
    <row r="875" ht="18" customHeight="1" x14ac:dyDescent="0.15"/>
    <row r="876" ht="18" customHeight="1" x14ac:dyDescent="0.15"/>
    <row r="877" ht="18" customHeight="1" x14ac:dyDescent="0.15"/>
    <row r="878" ht="18" customHeight="1" x14ac:dyDescent="0.15"/>
    <row r="879" ht="18" customHeight="1" x14ac:dyDescent="0.15"/>
    <row r="880" ht="18" customHeight="1" x14ac:dyDescent="0.15"/>
    <row r="881" ht="18" customHeight="1" x14ac:dyDescent="0.15"/>
    <row r="882" ht="18" customHeight="1" x14ac:dyDescent="0.15"/>
    <row r="883" ht="18" customHeight="1" x14ac:dyDescent="0.15"/>
    <row r="884" ht="18" customHeight="1" x14ac:dyDescent="0.15"/>
    <row r="885" ht="18" customHeight="1" x14ac:dyDescent="0.15"/>
    <row r="886" ht="18" customHeight="1" x14ac:dyDescent="0.15"/>
    <row r="887" ht="18" customHeight="1" x14ac:dyDescent="0.15"/>
    <row r="888" ht="18" customHeight="1" x14ac:dyDescent="0.15"/>
    <row r="889" ht="18" customHeight="1" x14ac:dyDescent="0.15"/>
    <row r="890" ht="18" customHeight="1" x14ac:dyDescent="0.15"/>
    <row r="891" ht="18" customHeight="1" x14ac:dyDescent="0.15"/>
    <row r="892" ht="18" customHeight="1" x14ac:dyDescent="0.15"/>
    <row r="893" ht="18" customHeight="1" x14ac:dyDescent="0.15"/>
    <row r="894" ht="18" customHeight="1" x14ac:dyDescent="0.15"/>
    <row r="895" ht="18" customHeight="1" x14ac:dyDescent="0.15"/>
    <row r="896" ht="18" customHeight="1" x14ac:dyDescent="0.15"/>
    <row r="897" ht="18" customHeight="1" x14ac:dyDescent="0.15"/>
    <row r="898" ht="18" customHeight="1" x14ac:dyDescent="0.15"/>
    <row r="899" ht="18" customHeight="1" x14ac:dyDescent="0.15"/>
    <row r="900" ht="18" customHeight="1" x14ac:dyDescent="0.15"/>
    <row r="901" ht="18" customHeight="1" x14ac:dyDescent="0.15"/>
    <row r="902" ht="18" customHeight="1" x14ac:dyDescent="0.15"/>
    <row r="903" ht="18" customHeight="1" x14ac:dyDescent="0.15"/>
    <row r="904" ht="18" customHeight="1" x14ac:dyDescent="0.15"/>
    <row r="905" ht="18" customHeight="1" x14ac:dyDescent="0.15"/>
    <row r="906" ht="18" customHeight="1" x14ac:dyDescent="0.15"/>
    <row r="907" ht="18" customHeight="1" x14ac:dyDescent="0.15"/>
    <row r="908" ht="18" customHeight="1" x14ac:dyDescent="0.15"/>
    <row r="909" ht="18" customHeight="1" x14ac:dyDescent="0.15"/>
    <row r="910" ht="18" customHeight="1" x14ac:dyDescent="0.15"/>
    <row r="911" ht="18" customHeight="1" x14ac:dyDescent="0.15"/>
    <row r="912" ht="18" customHeight="1" x14ac:dyDescent="0.15"/>
    <row r="913" ht="18" customHeight="1" x14ac:dyDescent="0.15"/>
    <row r="914" ht="18" customHeight="1" x14ac:dyDescent="0.15"/>
    <row r="915" ht="18" customHeight="1" x14ac:dyDescent="0.15"/>
    <row r="916" ht="18" customHeight="1" x14ac:dyDescent="0.15"/>
    <row r="917" ht="18" customHeight="1" x14ac:dyDescent="0.15"/>
    <row r="918" ht="18" customHeight="1" x14ac:dyDescent="0.15"/>
    <row r="919" ht="18" customHeight="1" x14ac:dyDescent="0.15"/>
    <row r="920" ht="18" customHeight="1" x14ac:dyDescent="0.15"/>
    <row r="921" ht="18" customHeight="1" x14ac:dyDescent="0.15"/>
    <row r="922" ht="18" customHeight="1" x14ac:dyDescent="0.15"/>
    <row r="923" ht="18" customHeight="1" x14ac:dyDescent="0.15"/>
    <row r="924" ht="18" customHeight="1" x14ac:dyDescent="0.15"/>
    <row r="925" ht="18" customHeight="1" x14ac:dyDescent="0.15"/>
    <row r="926" ht="18" customHeight="1" x14ac:dyDescent="0.15"/>
    <row r="927" ht="18" customHeight="1" x14ac:dyDescent="0.15"/>
    <row r="928" ht="18" customHeight="1" x14ac:dyDescent="0.15"/>
    <row r="929" ht="18" customHeight="1" x14ac:dyDescent="0.15"/>
    <row r="930" ht="18" customHeight="1" x14ac:dyDescent="0.15"/>
    <row r="931" ht="18" customHeight="1" x14ac:dyDescent="0.15"/>
    <row r="932" ht="18" customHeight="1" x14ac:dyDescent="0.15"/>
    <row r="933" ht="18" customHeight="1" x14ac:dyDescent="0.15"/>
    <row r="934" ht="18" customHeight="1" x14ac:dyDescent="0.15"/>
    <row r="935" ht="18" customHeight="1" x14ac:dyDescent="0.15"/>
    <row r="936" ht="18" customHeight="1" x14ac:dyDescent="0.15"/>
    <row r="937" ht="18" customHeight="1" x14ac:dyDescent="0.15"/>
    <row r="938" ht="18" customHeight="1" x14ac:dyDescent="0.15"/>
    <row r="939" ht="18" customHeight="1" x14ac:dyDescent="0.15"/>
    <row r="940" ht="18" customHeight="1" x14ac:dyDescent="0.15"/>
    <row r="941" ht="18" customHeight="1" x14ac:dyDescent="0.15"/>
    <row r="942" ht="18" customHeight="1" x14ac:dyDescent="0.15"/>
    <row r="943" ht="18" customHeight="1" x14ac:dyDescent="0.15"/>
    <row r="944" ht="18" customHeight="1" x14ac:dyDescent="0.15"/>
    <row r="945" ht="18" customHeight="1" x14ac:dyDescent="0.15"/>
    <row r="946" ht="18" customHeight="1" x14ac:dyDescent="0.15"/>
    <row r="947" ht="18" customHeight="1" x14ac:dyDescent="0.15"/>
    <row r="948" ht="18" customHeight="1" x14ac:dyDescent="0.15"/>
    <row r="949" ht="18" customHeight="1" x14ac:dyDescent="0.15"/>
    <row r="950" ht="18" customHeight="1" x14ac:dyDescent="0.15"/>
    <row r="951" ht="18" customHeight="1" x14ac:dyDescent="0.15"/>
    <row r="952" ht="18" customHeight="1" x14ac:dyDescent="0.15"/>
    <row r="953" ht="18" customHeight="1" x14ac:dyDescent="0.15"/>
    <row r="954" ht="18" customHeight="1" x14ac:dyDescent="0.15"/>
    <row r="955" ht="18" customHeight="1" x14ac:dyDescent="0.15"/>
    <row r="956" ht="18" customHeight="1" x14ac:dyDescent="0.15"/>
    <row r="957" ht="18" customHeight="1" x14ac:dyDescent="0.15"/>
    <row r="958" ht="18" customHeight="1" x14ac:dyDescent="0.15"/>
    <row r="959" ht="18" customHeight="1" x14ac:dyDescent="0.15"/>
    <row r="960" ht="18" customHeight="1" x14ac:dyDescent="0.15"/>
    <row r="961" ht="18" customHeight="1" x14ac:dyDescent="0.15"/>
    <row r="962" ht="18" customHeight="1" x14ac:dyDescent="0.15"/>
    <row r="963" ht="18" customHeight="1" x14ac:dyDescent="0.15"/>
    <row r="964" ht="18" customHeight="1" x14ac:dyDescent="0.15"/>
    <row r="965" ht="18" customHeight="1" x14ac:dyDescent="0.15"/>
    <row r="966" ht="18" customHeight="1" x14ac:dyDescent="0.15"/>
    <row r="967" ht="18" customHeight="1" x14ac:dyDescent="0.15"/>
    <row r="968" ht="18" customHeight="1" x14ac:dyDescent="0.15"/>
    <row r="969" ht="18" customHeight="1" x14ac:dyDescent="0.15"/>
    <row r="970" ht="18" customHeight="1" x14ac:dyDescent="0.15"/>
    <row r="971" ht="18" customHeight="1" x14ac:dyDescent="0.15"/>
    <row r="972" ht="18" customHeight="1" x14ac:dyDescent="0.15"/>
    <row r="973" ht="18" customHeight="1" x14ac:dyDescent="0.15"/>
    <row r="974" ht="18" customHeight="1" x14ac:dyDescent="0.15"/>
    <row r="975" ht="18" customHeight="1" x14ac:dyDescent="0.15"/>
    <row r="976" ht="18" customHeight="1" x14ac:dyDescent="0.15"/>
    <row r="977" ht="18" customHeight="1" x14ac:dyDescent="0.15"/>
    <row r="978" ht="18" customHeight="1" x14ac:dyDescent="0.15"/>
    <row r="979" ht="18" customHeight="1" x14ac:dyDescent="0.15"/>
    <row r="980" ht="18" customHeight="1" x14ac:dyDescent="0.15"/>
    <row r="981" ht="18" customHeight="1" x14ac:dyDescent="0.15"/>
    <row r="982" ht="18" customHeight="1" x14ac:dyDescent="0.15"/>
    <row r="983" ht="18" customHeight="1" x14ac:dyDescent="0.15"/>
    <row r="984" ht="18" customHeight="1" x14ac:dyDescent="0.15"/>
    <row r="985" ht="18" customHeight="1" x14ac:dyDescent="0.15"/>
    <row r="986" ht="18" customHeight="1" x14ac:dyDescent="0.15"/>
    <row r="987" ht="18" customHeight="1" x14ac:dyDescent="0.15"/>
    <row r="988" ht="18" customHeight="1" x14ac:dyDescent="0.15"/>
    <row r="989" ht="18" customHeight="1" x14ac:dyDescent="0.15"/>
    <row r="990" ht="18" customHeight="1" x14ac:dyDescent="0.15"/>
    <row r="991" ht="18" customHeight="1" x14ac:dyDescent="0.15"/>
    <row r="992" ht="18" customHeight="1" x14ac:dyDescent="0.15"/>
    <row r="993" ht="18" customHeight="1" x14ac:dyDescent="0.15"/>
    <row r="994" ht="18" customHeight="1" x14ac:dyDescent="0.15"/>
    <row r="995" ht="18" customHeight="1" x14ac:dyDescent="0.15"/>
    <row r="996" ht="18" customHeight="1" x14ac:dyDescent="0.15"/>
    <row r="997" ht="18" customHeight="1" x14ac:dyDescent="0.15"/>
    <row r="998" ht="18" customHeight="1" x14ac:dyDescent="0.15"/>
    <row r="999" ht="18" customHeight="1" x14ac:dyDescent="0.15"/>
    <row r="1000" ht="18" customHeight="1" x14ac:dyDescent="0.15"/>
  </sheetData>
  <mergeCells count="7">
    <mergeCell ref="B32:F32"/>
    <mergeCell ref="B48:F48"/>
    <mergeCell ref="A1:E1"/>
    <mergeCell ref="A2:B2"/>
    <mergeCell ref="A8:E8"/>
    <mergeCell ref="B11:C11"/>
    <mergeCell ref="B18:F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B1000"/>
  <sheetViews>
    <sheetView topLeftCell="A11" workbookViewId="0"/>
  </sheetViews>
  <sheetFormatPr baseColWidth="10" defaultColWidth="12.6640625" defaultRowHeight="14" x14ac:dyDescent="0.15"/>
  <cols>
    <col min="1" max="1" width="5.33203125" customWidth="1"/>
    <col min="2" max="2" width="51.1640625" customWidth="1"/>
    <col min="3" max="3" width="15" hidden="1" customWidth="1"/>
    <col min="4" max="4" width="10.83203125" customWidth="1"/>
    <col min="5" max="6" width="10.6640625" customWidth="1"/>
    <col min="7" max="8" width="9.83203125" customWidth="1"/>
    <col min="9" max="9" width="8.6640625" customWidth="1"/>
    <col min="10" max="10" width="11.1640625" hidden="1" customWidth="1"/>
    <col min="11" max="11" width="10.6640625" hidden="1" customWidth="1"/>
    <col min="12" max="12" width="8.1640625" hidden="1" customWidth="1"/>
    <col min="13" max="66" width="3.1640625" customWidth="1"/>
    <col min="67" max="67" width="3.5" customWidth="1"/>
    <col min="68" max="80" width="9" customWidth="1"/>
  </cols>
  <sheetData>
    <row r="1" spans="1:80" ht="18" customHeight="1" x14ac:dyDescent="0.15">
      <c r="A1" s="59" t="s">
        <v>281</v>
      </c>
      <c r="B1" s="60"/>
      <c r="C1" s="60"/>
      <c r="D1" s="60"/>
      <c r="E1" s="60"/>
      <c r="F1" s="61"/>
      <c r="G1" s="62"/>
      <c r="H1" s="61"/>
      <c r="I1" s="61"/>
      <c r="J1" s="63"/>
      <c r="K1" s="61"/>
      <c r="L1" s="61"/>
      <c r="M1" s="64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5" t="s">
        <v>39</v>
      </c>
      <c r="BJ1" s="61"/>
      <c r="BK1" s="61"/>
      <c r="BL1" s="61"/>
      <c r="BM1" s="61"/>
      <c r="BN1" s="61"/>
      <c r="BO1" s="61"/>
    </row>
    <row r="2" spans="1:80" ht="18" customHeight="1" x14ac:dyDescent="0.15">
      <c r="A2" s="61" t="s">
        <v>182</v>
      </c>
      <c r="B2" s="61"/>
      <c r="C2" s="61"/>
      <c r="D2" s="61"/>
      <c r="E2" s="61"/>
      <c r="F2" s="61"/>
      <c r="G2" s="63"/>
      <c r="H2" s="61"/>
      <c r="I2" s="61"/>
      <c r="J2" s="63"/>
      <c r="K2" s="61"/>
      <c r="L2" s="61"/>
      <c r="M2" s="66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</row>
    <row r="3" spans="1:80" ht="18" customHeight="1" x14ac:dyDescent="0.15">
      <c r="A3" s="61" t="s">
        <v>282</v>
      </c>
      <c r="B3" s="61"/>
      <c r="C3" s="61"/>
      <c r="D3" s="61"/>
      <c r="E3" s="61"/>
      <c r="F3" s="67" t="s">
        <v>40</v>
      </c>
      <c r="G3" s="285">
        <v>46217</v>
      </c>
      <c r="H3" s="286"/>
      <c r="I3" s="61"/>
      <c r="J3" s="63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</row>
    <row r="4" spans="1:80" ht="18" customHeight="1" x14ac:dyDescent="0.15">
      <c r="A4" s="67"/>
      <c r="B4" s="61"/>
      <c r="C4" s="61"/>
      <c r="D4" s="61"/>
      <c r="E4" s="61"/>
      <c r="F4" s="67" t="s">
        <v>41</v>
      </c>
      <c r="G4" s="68" t="s">
        <v>283</v>
      </c>
      <c r="H4" s="61"/>
      <c r="I4" s="61"/>
      <c r="J4" s="63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</row>
    <row r="5" spans="1:80" ht="18" customHeight="1" x14ac:dyDescent="0.15">
      <c r="A5" s="67"/>
      <c r="B5" s="61"/>
      <c r="C5" s="61"/>
      <c r="D5" s="61"/>
      <c r="E5" s="61"/>
      <c r="F5" s="67" t="s">
        <v>42</v>
      </c>
      <c r="G5" s="69">
        <v>1</v>
      </c>
      <c r="H5" s="61"/>
      <c r="I5" s="61"/>
      <c r="J5" s="63"/>
      <c r="K5" s="61"/>
      <c r="L5" s="61"/>
      <c r="M5" s="70">
        <f>IF(G4="Weekly",G3+7*(G5-1),IF(G4="Daily",G3+(G5-1),IF(G4="Monthly",EDATE($G$3,($G$5-1)),EDATE($G$3,3*($G$5-1)))))</f>
        <v>46217</v>
      </c>
      <c r="N5" s="70">
        <f t="shared" ref="N5:BO5" si="0">IF($G$4="Daily",M5+1,IF($G$4="Weekly",M5+7,IF($G$4="Monthly",EDATE($G$3,N7-1),EDATE($G$3,3*(N7-1)))))</f>
        <v>46224</v>
      </c>
      <c r="O5" s="70">
        <f t="shared" si="0"/>
        <v>46231</v>
      </c>
      <c r="P5" s="70">
        <f t="shared" si="0"/>
        <v>46238</v>
      </c>
      <c r="Q5" s="70">
        <f t="shared" si="0"/>
        <v>46245</v>
      </c>
      <c r="R5" s="70">
        <f t="shared" si="0"/>
        <v>46252</v>
      </c>
      <c r="S5" s="70">
        <f t="shared" si="0"/>
        <v>46259</v>
      </c>
      <c r="T5" s="70">
        <f t="shared" si="0"/>
        <v>46266</v>
      </c>
      <c r="U5" s="70">
        <f t="shared" si="0"/>
        <v>46273</v>
      </c>
      <c r="V5" s="70">
        <f t="shared" si="0"/>
        <v>46280</v>
      </c>
      <c r="W5" s="70">
        <f t="shared" si="0"/>
        <v>46287</v>
      </c>
      <c r="X5" s="70">
        <f t="shared" si="0"/>
        <v>46294</v>
      </c>
      <c r="Y5" s="70">
        <f t="shared" si="0"/>
        <v>46301</v>
      </c>
      <c r="Z5" s="70">
        <f t="shared" si="0"/>
        <v>46308</v>
      </c>
      <c r="AA5" s="70">
        <f t="shared" si="0"/>
        <v>46315</v>
      </c>
      <c r="AB5" s="70">
        <f t="shared" si="0"/>
        <v>46322</v>
      </c>
      <c r="AC5" s="70">
        <f t="shared" si="0"/>
        <v>46329</v>
      </c>
      <c r="AD5" s="70">
        <f t="shared" si="0"/>
        <v>46336</v>
      </c>
      <c r="AE5" s="70">
        <f t="shared" si="0"/>
        <v>46343</v>
      </c>
      <c r="AF5" s="70">
        <f t="shared" si="0"/>
        <v>46350</v>
      </c>
      <c r="AG5" s="70">
        <f t="shared" si="0"/>
        <v>46357</v>
      </c>
      <c r="AH5" s="70">
        <f t="shared" si="0"/>
        <v>46364</v>
      </c>
      <c r="AI5" s="70">
        <f t="shared" si="0"/>
        <v>46371</v>
      </c>
      <c r="AJ5" s="70">
        <f t="shared" si="0"/>
        <v>46378</v>
      </c>
      <c r="AK5" s="70">
        <f t="shared" si="0"/>
        <v>46385</v>
      </c>
      <c r="AL5" s="70">
        <f t="shared" si="0"/>
        <v>46392</v>
      </c>
      <c r="AM5" s="70">
        <f t="shared" si="0"/>
        <v>46399</v>
      </c>
      <c r="AN5" s="70">
        <f t="shared" si="0"/>
        <v>46406</v>
      </c>
      <c r="AO5" s="70">
        <f t="shared" si="0"/>
        <v>46413</v>
      </c>
      <c r="AP5" s="70">
        <f t="shared" si="0"/>
        <v>46420</v>
      </c>
      <c r="AQ5" s="70">
        <f t="shared" si="0"/>
        <v>46427</v>
      </c>
      <c r="AR5" s="70">
        <f t="shared" si="0"/>
        <v>46434</v>
      </c>
      <c r="AS5" s="70">
        <f t="shared" si="0"/>
        <v>46441</v>
      </c>
      <c r="AT5" s="70">
        <f t="shared" si="0"/>
        <v>46448</v>
      </c>
      <c r="AU5" s="70">
        <f t="shared" si="0"/>
        <v>46455</v>
      </c>
      <c r="AV5" s="70">
        <f t="shared" si="0"/>
        <v>46462</v>
      </c>
      <c r="AW5" s="70">
        <f t="shared" si="0"/>
        <v>46469</v>
      </c>
      <c r="AX5" s="70">
        <f t="shared" si="0"/>
        <v>46476</v>
      </c>
      <c r="AY5" s="70">
        <f t="shared" si="0"/>
        <v>46483</v>
      </c>
      <c r="AZ5" s="70">
        <f t="shared" si="0"/>
        <v>46490</v>
      </c>
      <c r="BA5" s="70">
        <f t="shared" si="0"/>
        <v>46497</v>
      </c>
      <c r="BB5" s="70">
        <f t="shared" si="0"/>
        <v>46504</v>
      </c>
      <c r="BC5" s="70">
        <f t="shared" si="0"/>
        <v>46511</v>
      </c>
      <c r="BD5" s="70">
        <f t="shared" si="0"/>
        <v>46518</v>
      </c>
      <c r="BE5" s="70">
        <f t="shared" si="0"/>
        <v>46525</v>
      </c>
      <c r="BF5" s="70">
        <f t="shared" si="0"/>
        <v>46532</v>
      </c>
      <c r="BG5" s="70">
        <f t="shared" si="0"/>
        <v>46539</v>
      </c>
      <c r="BH5" s="70">
        <f t="shared" si="0"/>
        <v>46546</v>
      </c>
      <c r="BI5" s="70">
        <f t="shared" si="0"/>
        <v>46553</v>
      </c>
      <c r="BJ5" s="70">
        <f t="shared" si="0"/>
        <v>46560</v>
      </c>
      <c r="BK5" s="70">
        <f t="shared" si="0"/>
        <v>46567</v>
      </c>
      <c r="BL5" s="70">
        <f t="shared" si="0"/>
        <v>46574</v>
      </c>
      <c r="BM5" s="70">
        <f t="shared" si="0"/>
        <v>46581</v>
      </c>
      <c r="BN5" s="70">
        <f t="shared" si="0"/>
        <v>46588</v>
      </c>
      <c r="BO5" s="70">
        <f t="shared" si="0"/>
        <v>46595</v>
      </c>
    </row>
    <row r="6" spans="1:80" ht="60" customHeight="1" x14ac:dyDescent="0.15">
      <c r="A6" s="287"/>
      <c r="B6" s="254"/>
      <c r="C6" s="254"/>
      <c r="D6" s="254"/>
      <c r="E6" s="254"/>
      <c r="F6" s="254"/>
      <c r="G6" s="254"/>
      <c r="H6" s="254"/>
      <c r="I6" s="254"/>
      <c r="J6" s="63"/>
      <c r="K6" s="61"/>
      <c r="L6" s="61"/>
      <c r="M6" s="71" t="str">
        <f t="shared" ref="M6:BO6" si="1">DAY(M5)&amp;CHAR(10)&amp;LEFT(TEXT(M5,"mmm"),3)&amp;CHAR(10)&amp;"'"&amp;RIGHT(YEAR(M5),2)</f>
        <v>14
Jul
'26</v>
      </c>
      <c r="N6" s="71" t="str">
        <f t="shared" si="1"/>
        <v>21
Jul
'26</v>
      </c>
      <c r="O6" s="71" t="str">
        <f t="shared" si="1"/>
        <v>28
Jul
'26</v>
      </c>
      <c r="P6" s="71" t="str">
        <f t="shared" si="1"/>
        <v>4
Aug
'26</v>
      </c>
      <c r="Q6" s="71" t="str">
        <f t="shared" si="1"/>
        <v>11
Aug
'26</v>
      </c>
      <c r="R6" s="71" t="str">
        <f t="shared" si="1"/>
        <v>18
Aug
'26</v>
      </c>
      <c r="S6" s="71" t="str">
        <f t="shared" si="1"/>
        <v>25
Aug
'26</v>
      </c>
      <c r="T6" s="71" t="str">
        <f t="shared" si="1"/>
        <v>1
Sep
'26</v>
      </c>
      <c r="U6" s="71" t="str">
        <f t="shared" si="1"/>
        <v>8
Sep
'26</v>
      </c>
      <c r="V6" s="71" t="str">
        <f t="shared" si="1"/>
        <v>15
Sep
'26</v>
      </c>
      <c r="W6" s="71" t="str">
        <f t="shared" si="1"/>
        <v>22
Sep
'26</v>
      </c>
      <c r="X6" s="71" t="str">
        <f t="shared" si="1"/>
        <v>29
Sep
'26</v>
      </c>
      <c r="Y6" s="71" t="str">
        <f t="shared" si="1"/>
        <v>6
Oct
'26</v>
      </c>
      <c r="Z6" s="71" t="str">
        <f t="shared" si="1"/>
        <v>13
Oct
'26</v>
      </c>
      <c r="AA6" s="71" t="str">
        <f t="shared" si="1"/>
        <v>20
Oct
'26</v>
      </c>
      <c r="AB6" s="71" t="str">
        <f t="shared" si="1"/>
        <v>27
Oct
'26</v>
      </c>
      <c r="AC6" s="71" t="str">
        <f t="shared" si="1"/>
        <v>3
Nov
'26</v>
      </c>
      <c r="AD6" s="71" t="str">
        <f t="shared" si="1"/>
        <v>10
Nov
'26</v>
      </c>
      <c r="AE6" s="71" t="str">
        <f t="shared" si="1"/>
        <v>17
Nov
'26</v>
      </c>
      <c r="AF6" s="71" t="str">
        <f t="shared" si="1"/>
        <v>24
Nov
'26</v>
      </c>
      <c r="AG6" s="71" t="str">
        <f t="shared" si="1"/>
        <v>1
Dec
'26</v>
      </c>
      <c r="AH6" s="71" t="str">
        <f t="shared" si="1"/>
        <v>8
Dec
'26</v>
      </c>
      <c r="AI6" s="71" t="str">
        <f t="shared" si="1"/>
        <v>15
Dec
'26</v>
      </c>
      <c r="AJ6" s="71" t="str">
        <f t="shared" si="1"/>
        <v>22
Dec
'26</v>
      </c>
      <c r="AK6" s="71" t="str">
        <f t="shared" si="1"/>
        <v>29
Dec
'26</v>
      </c>
      <c r="AL6" s="71" t="str">
        <f t="shared" si="1"/>
        <v>5
Jan
'27</v>
      </c>
      <c r="AM6" s="71" t="str">
        <f t="shared" si="1"/>
        <v>12
Jan
'27</v>
      </c>
      <c r="AN6" s="71" t="str">
        <f t="shared" si="1"/>
        <v>19
Jan
'27</v>
      </c>
      <c r="AO6" s="71" t="str">
        <f t="shared" si="1"/>
        <v>26
Jan
'27</v>
      </c>
      <c r="AP6" s="71" t="str">
        <f t="shared" si="1"/>
        <v>2
Feb
'27</v>
      </c>
      <c r="AQ6" s="71" t="str">
        <f t="shared" si="1"/>
        <v>9
Feb
'27</v>
      </c>
      <c r="AR6" s="71" t="str">
        <f t="shared" si="1"/>
        <v>16
Feb
'27</v>
      </c>
      <c r="AS6" s="71" t="str">
        <f t="shared" si="1"/>
        <v>23
Feb
'27</v>
      </c>
      <c r="AT6" s="71" t="str">
        <f t="shared" si="1"/>
        <v>2
Mar
'27</v>
      </c>
      <c r="AU6" s="71" t="str">
        <f t="shared" si="1"/>
        <v>9
Mar
'27</v>
      </c>
      <c r="AV6" s="71" t="str">
        <f t="shared" si="1"/>
        <v>16
Mar
'27</v>
      </c>
      <c r="AW6" s="71" t="str">
        <f t="shared" si="1"/>
        <v>23
Mar
'27</v>
      </c>
      <c r="AX6" s="71" t="str">
        <f t="shared" si="1"/>
        <v>30
Mar
'27</v>
      </c>
      <c r="AY6" s="71" t="str">
        <f t="shared" si="1"/>
        <v>6
Apr
'27</v>
      </c>
      <c r="AZ6" s="71" t="str">
        <f t="shared" si="1"/>
        <v>13
Apr
'27</v>
      </c>
      <c r="BA6" s="71" t="str">
        <f t="shared" si="1"/>
        <v>20
Apr
'27</v>
      </c>
      <c r="BB6" s="71" t="str">
        <f t="shared" si="1"/>
        <v>27
Apr
'27</v>
      </c>
      <c r="BC6" s="71" t="str">
        <f t="shared" si="1"/>
        <v>4
May
'27</v>
      </c>
      <c r="BD6" s="71" t="str">
        <f t="shared" si="1"/>
        <v>11
May
'27</v>
      </c>
      <c r="BE6" s="71" t="str">
        <f t="shared" si="1"/>
        <v>18
May
'27</v>
      </c>
      <c r="BF6" s="71" t="str">
        <f t="shared" si="1"/>
        <v>25
May
'27</v>
      </c>
      <c r="BG6" s="71" t="str">
        <f t="shared" si="1"/>
        <v>1
Jun
'27</v>
      </c>
      <c r="BH6" s="71" t="str">
        <f t="shared" si="1"/>
        <v>8
Jun
'27</v>
      </c>
      <c r="BI6" s="71" t="str">
        <f t="shared" si="1"/>
        <v>15
Jun
'27</v>
      </c>
      <c r="BJ6" s="71" t="str">
        <f t="shared" si="1"/>
        <v>22
Jun
'27</v>
      </c>
      <c r="BK6" s="71" t="str">
        <f t="shared" si="1"/>
        <v>29
Jun
'27</v>
      </c>
      <c r="BL6" s="71" t="str">
        <f t="shared" si="1"/>
        <v>6
Jul
'27</v>
      </c>
      <c r="BM6" s="71" t="str">
        <f t="shared" si="1"/>
        <v>13
Jul
'27</v>
      </c>
      <c r="BN6" s="71" t="str">
        <f t="shared" si="1"/>
        <v>20
Jul
'27</v>
      </c>
      <c r="BO6" s="71" t="str">
        <f t="shared" si="1"/>
        <v>27
Jul
'27</v>
      </c>
    </row>
    <row r="7" spans="1:80" ht="18" customHeight="1" x14ac:dyDescent="0.15">
      <c r="A7" s="72" t="s">
        <v>44</v>
      </c>
      <c r="B7" s="73" t="s">
        <v>284</v>
      </c>
      <c r="C7" s="73" t="s">
        <v>285</v>
      </c>
      <c r="D7" s="74" t="s">
        <v>286</v>
      </c>
      <c r="E7" s="74" t="s">
        <v>287</v>
      </c>
      <c r="F7" s="74" t="s">
        <v>288</v>
      </c>
      <c r="G7" s="75" t="s">
        <v>289</v>
      </c>
      <c r="H7" s="75" t="s">
        <v>290</v>
      </c>
      <c r="I7" s="75" t="s">
        <v>291</v>
      </c>
      <c r="J7" s="74" t="s">
        <v>292</v>
      </c>
      <c r="K7" s="74" t="s">
        <v>293</v>
      </c>
      <c r="L7" s="74" t="s">
        <v>294</v>
      </c>
      <c r="M7" s="76">
        <f>G5</f>
        <v>1</v>
      </c>
      <c r="N7" s="76">
        <f t="shared" ref="N7:BO7" si="2">M7+1</f>
        <v>2</v>
      </c>
      <c r="O7" s="76">
        <f t="shared" si="2"/>
        <v>3</v>
      </c>
      <c r="P7" s="76">
        <f t="shared" si="2"/>
        <v>4</v>
      </c>
      <c r="Q7" s="76">
        <f t="shared" si="2"/>
        <v>5</v>
      </c>
      <c r="R7" s="76">
        <f t="shared" si="2"/>
        <v>6</v>
      </c>
      <c r="S7" s="76">
        <f t="shared" si="2"/>
        <v>7</v>
      </c>
      <c r="T7" s="76">
        <f t="shared" si="2"/>
        <v>8</v>
      </c>
      <c r="U7" s="76">
        <f t="shared" si="2"/>
        <v>9</v>
      </c>
      <c r="V7" s="76">
        <f t="shared" si="2"/>
        <v>10</v>
      </c>
      <c r="W7" s="76">
        <f t="shared" si="2"/>
        <v>11</v>
      </c>
      <c r="X7" s="76">
        <f t="shared" si="2"/>
        <v>12</v>
      </c>
      <c r="Y7" s="76">
        <f t="shared" si="2"/>
        <v>13</v>
      </c>
      <c r="Z7" s="76">
        <f t="shared" si="2"/>
        <v>14</v>
      </c>
      <c r="AA7" s="76">
        <f t="shared" si="2"/>
        <v>15</v>
      </c>
      <c r="AB7" s="76">
        <f t="shared" si="2"/>
        <v>16</v>
      </c>
      <c r="AC7" s="76">
        <f t="shared" si="2"/>
        <v>17</v>
      </c>
      <c r="AD7" s="76">
        <f t="shared" si="2"/>
        <v>18</v>
      </c>
      <c r="AE7" s="76">
        <f t="shared" si="2"/>
        <v>19</v>
      </c>
      <c r="AF7" s="76">
        <f t="shared" si="2"/>
        <v>20</v>
      </c>
      <c r="AG7" s="76">
        <f t="shared" si="2"/>
        <v>21</v>
      </c>
      <c r="AH7" s="76">
        <f t="shared" si="2"/>
        <v>22</v>
      </c>
      <c r="AI7" s="76">
        <f t="shared" si="2"/>
        <v>23</v>
      </c>
      <c r="AJ7" s="76">
        <f t="shared" si="2"/>
        <v>24</v>
      </c>
      <c r="AK7" s="76">
        <f t="shared" si="2"/>
        <v>25</v>
      </c>
      <c r="AL7" s="76">
        <f t="shared" si="2"/>
        <v>26</v>
      </c>
      <c r="AM7" s="76">
        <f t="shared" si="2"/>
        <v>27</v>
      </c>
      <c r="AN7" s="76">
        <f t="shared" si="2"/>
        <v>28</v>
      </c>
      <c r="AO7" s="76">
        <f t="shared" si="2"/>
        <v>29</v>
      </c>
      <c r="AP7" s="76">
        <f t="shared" si="2"/>
        <v>30</v>
      </c>
      <c r="AQ7" s="76">
        <f t="shared" si="2"/>
        <v>31</v>
      </c>
      <c r="AR7" s="76">
        <f t="shared" si="2"/>
        <v>32</v>
      </c>
      <c r="AS7" s="76">
        <f t="shared" si="2"/>
        <v>33</v>
      </c>
      <c r="AT7" s="76">
        <f t="shared" si="2"/>
        <v>34</v>
      </c>
      <c r="AU7" s="76">
        <f t="shared" si="2"/>
        <v>35</v>
      </c>
      <c r="AV7" s="76">
        <f t="shared" si="2"/>
        <v>36</v>
      </c>
      <c r="AW7" s="76">
        <f t="shared" si="2"/>
        <v>37</v>
      </c>
      <c r="AX7" s="76">
        <f t="shared" si="2"/>
        <v>38</v>
      </c>
      <c r="AY7" s="76">
        <f t="shared" si="2"/>
        <v>39</v>
      </c>
      <c r="AZ7" s="76">
        <f t="shared" si="2"/>
        <v>40</v>
      </c>
      <c r="BA7" s="76">
        <f t="shared" si="2"/>
        <v>41</v>
      </c>
      <c r="BB7" s="76">
        <f t="shared" si="2"/>
        <v>42</v>
      </c>
      <c r="BC7" s="76">
        <f t="shared" si="2"/>
        <v>43</v>
      </c>
      <c r="BD7" s="76">
        <f t="shared" si="2"/>
        <v>44</v>
      </c>
      <c r="BE7" s="76">
        <f t="shared" si="2"/>
        <v>45</v>
      </c>
      <c r="BF7" s="76">
        <f t="shared" si="2"/>
        <v>46</v>
      </c>
      <c r="BG7" s="76">
        <f t="shared" si="2"/>
        <v>47</v>
      </c>
      <c r="BH7" s="76">
        <f t="shared" si="2"/>
        <v>48</v>
      </c>
      <c r="BI7" s="76">
        <f t="shared" si="2"/>
        <v>49</v>
      </c>
      <c r="BJ7" s="76">
        <f t="shared" si="2"/>
        <v>50</v>
      </c>
      <c r="BK7" s="76">
        <f t="shared" si="2"/>
        <v>51</v>
      </c>
      <c r="BL7" s="76">
        <f t="shared" si="2"/>
        <v>52</v>
      </c>
      <c r="BM7" s="76">
        <f t="shared" si="2"/>
        <v>53</v>
      </c>
      <c r="BN7" s="76">
        <f t="shared" si="2"/>
        <v>54</v>
      </c>
      <c r="BO7" s="76">
        <f t="shared" si="2"/>
        <v>55</v>
      </c>
    </row>
    <row r="8" spans="1:80" ht="18" customHeight="1" x14ac:dyDescent="0.15">
      <c r="A8" s="77" t="s">
        <v>191</v>
      </c>
      <c r="B8" s="216" t="s">
        <v>295</v>
      </c>
      <c r="C8" s="216" t="s">
        <v>296</v>
      </c>
      <c r="D8" s="77" t="s">
        <v>132</v>
      </c>
      <c r="E8" s="77" t="s">
        <v>297</v>
      </c>
      <c r="F8" s="78">
        <v>1</v>
      </c>
      <c r="G8" s="210">
        <v>46217</v>
      </c>
      <c r="H8" s="210">
        <v>46227</v>
      </c>
      <c r="I8" s="77">
        <f t="shared" ref="I8:I9" si="3">IF(OR(ISBLANK(G8),ISBLANK(H8)),"",H8-G8+1)</f>
        <v>11</v>
      </c>
      <c r="J8" s="210"/>
      <c r="K8" s="210"/>
      <c r="L8" s="77" t="str">
        <f t="shared" ref="L8:L11" si="4">IF(OR(ISBLANK(J8),ISBLANK(K8)),"",K8-J8+1)</f>
        <v/>
      </c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79"/>
      <c r="BC8" s="7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80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</row>
    <row r="9" spans="1:80" ht="20" customHeight="1" x14ac:dyDescent="0.15">
      <c r="A9" s="81">
        <v>1</v>
      </c>
      <c r="B9" s="288" t="s">
        <v>298</v>
      </c>
      <c r="C9" s="289" t="s">
        <v>299</v>
      </c>
      <c r="D9" s="81" t="s">
        <v>132</v>
      </c>
      <c r="E9" s="81" t="s">
        <v>300</v>
      </c>
      <c r="F9" s="82">
        <v>1</v>
      </c>
      <c r="G9" s="211">
        <v>46217</v>
      </c>
      <c r="H9" s="211">
        <v>46217</v>
      </c>
      <c r="I9" s="83">
        <f t="shared" si="3"/>
        <v>1</v>
      </c>
      <c r="J9" s="211"/>
      <c r="K9" s="211"/>
      <c r="L9" s="83" t="str">
        <f t="shared" si="4"/>
        <v/>
      </c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/>
      <c r="AT9" s="79"/>
      <c r="AU9" s="79"/>
      <c r="AV9" s="79"/>
      <c r="AW9" s="79"/>
      <c r="AX9" s="79"/>
      <c r="AY9" s="79"/>
      <c r="AZ9" s="79"/>
      <c r="BA9" s="79"/>
      <c r="BB9" s="79"/>
      <c r="BC9" s="79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80"/>
      <c r="BP9" s="84"/>
      <c r="BQ9" s="84"/>
      <c r="BR9" s="84"/>
      <c r="BS9" s="84"/>
      <c r="BT9" s="84"/>
      <c r="BU9" s="84"/>
      <c r="BV9" s="84"/>
      <c r="BW9" s="84"/>
      <c r="BX9" s="84"/>
      <c r="BY9" s="84"/>
      <c r="BZ9" s="84"/>
      <c r="CA9" s="84"/>
      <c r="CB9" s="84"/>
    </row>
    <row r="10" spans="1:80" ht="18" customHeight="1" x14ac:dyDescent="0.15">
      <c r="A10" s="85">
        <v>2</v>
      </c>
      <c r="B10" s="217" t="s">
        <v>301</v>
      </c>
      <c r="C10" s="217" t="s">
        <v>302</v>
      </c>
      <c r="D10" s="85" t="s">
        <v>135</v>
      </c>
      <c r="E10" s="85" t="s">
        <v>303</v>
      </c>
      <c r="F10" s="86">
        <v>0.8</v>
      </c>
      <c r="G10" s="212">
        <v>46217</v>
      </c>
      <c r="H10" s="212">
        <v>46223</v>
      </c>
      <c r="I10" s="87">
        <f t="shared" ref="I10:I39" si="5">IF(OR(ISBLANK(G10),ISBLANK(H10)),"",H10-G10+1)</f>
        <v>7</v>
      </c>
      <c r="J10" s="212"/>
      <c r="K10" s="212"/>
      <c r="L10" s="87" t="str">
        <f t="shared" si="4"/>
        <v/>
      </c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/>
      <c r="AT10" s="79"/>
      <c r="AU10" s="79"/>
      <c r="AV10" s="79"/>
      <c r="AW10" s="79"/>
      <c r="AX10" s="79"/>
      <c r="AY10" s="79"/>
      <c r="AZ10" s="79"/>
      <c r="BA10" s="79"/>
      <c r="BB10" s="79"/>
      <c r="BC10" s="79"/>
      <c r="BD10" s="79"/>
      <c r="BE10" s="79"/>
      <c r="BF10" s="79"/>
      <c r="BG10" s="79"/>
      <c r="BH10" s="79"/>
      <c r="BI10" s="79"/>
      <c r="BJ10" s="79"/>
      <c r="BK10" s="79"/>
      <c r="BL10" s="79"/>
      <c r="BM10" s="79"/>
      <c r="BN10" s="79"/>
      <c r="BO10" s="80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</row>
    <row r="11" spans="1:80" ht="18" customHeight="1" x14ac:dyDescent="0.15">
      <c r="A11" s="85">
        <v>3</v>
      </c>
      <c r="B11" s="217" t="s">
        <v>304</v>
      </c>
      <c r="C11" s="217" t="s">
        <v>305</v>
      </c>
      <c r="D11" s="85" t="s">
        <v>135</v>
      </c>
      <c r="E11" s="85" t="s">
        <v>138</v>
      </c>
      <c r="F11" s="86">
        <v>0.7</v>
      </c>
      <c r="G11" s="212">
        <v>46220</v>
      </c>
      <c r="H11" s="212">
        <v>46226</v>
      </c>
      <c r="I11" s="87">
        <f t="shared" si="5"/>
        <v>7</v>
      </c>
      <c r="J11" s="212"/>
      <c r="K11" s="212"/>
      <c r="L11" s="87" t="str">
        <f t="shared" si="4"/>
        <v/>
      </c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9"/>
      <c r="BB11" s="79"/>
      <c r="BC11" s="79"/>
      <c r="BD11" s="79"/>
      <c r="BE11" s="79"/>
      <c r="BF11" s="79"/>
      <c r="BG11" s="79"/>
      <c r="BH11" s="79"/>
      <c r="BI11" s="79"/>
      <c r="BJ11" s="79"/>
      <c r="BK11" s="79"/>
      <c r="BL11" s="79"/>
      <c r="BM11" s="79"/>
      <c r="BN11" s="79"/>
      <c r="BO11" s="80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</row>
    <row r="12" spans="1:80" ht="18" customHeight="1" x14ac:dyDescent="0.15">
      <c r="A12" s="85">
        <v>4</v>
      </c>
      <c r="B12" s="217" t="s">
        <v>306</v>
      </c>
      <c r="C12" s="217" t="s">
        <v>307</v>
      </c>
      <c r="D12" s="85" t="s">
        <v>138</v>
      </c>
      <c r="E12" s="85" t="s">
        <v>308</v>
      </c>
      <c r="F12" s="86">
        <v>0.6</v>
      </c>
      <c r="G12" s="212">
        <v>46223</v>
      </c>
      <c r="H12" s="212">
        <v>46227</v>
      </c>
      <c r="I12" s="87">
        <f t="shared" si="5"/>
        <v>5</v>
      </c>
      <c r="J12" s="212"/>
      <c r="K12" s="212"/>
      <c r="L12" s="87" t="str">
        <f>IF(OR(ISBLANK(J12),ISBLANK(K12)),"",K12-J12+1)</f>
        <v/>
      </c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9"/>
      <c r="BB12" s="79"/>
      <c r="BC12" s="79"/>
      <c r="BD12" s="79"/>
      <c r="BE12" s="79"/>
      <c r="BF12" s="79"/>
      <c r="BG12" s="79"/>
      <c r="BH12" s="79"/>
      <c r="BI12" s="79"/>
      <c r="BJ12" s="79"/>
      <c r="BK12" s="79"/>
      <c r="BL12" s="79"/>
      <c r="BM12" s="79"/>
      <c r="BN12" s="79"/>
      <c r="BO12" s="80"/>
      <c r="BP12" s="84"/>
      <c r="BQ12" s="84"/>
      <c r="BR12" s="84"/>
      <c r="BS12" s="84"/>
      <c r="BT12" s="84"/>
      <c r="BU12" s="84"/>
      <c r="BV12" s="84"/>
      <c r="BW12" s="84"/>
      <c r="BX12" s="84"/>
      <c r="BY12" s="84"/>
      <c r="BZ12" s="84"/>
      <c r="CA12" s="84"/>
      <c r="CB12" s="84"/>
    </row>
    <row r="13" spans="1:80" ht="18" customHeight="1" x14ac:dyDescent="0.15">
      <c r="A13" s="85" t="s">
        <v>203</v>
      </c>
      <c r="B13" s="217" t="s">
        <v>140</v>
      </c>
      <c r="C13" s="217" t="s">
        <v>309</v>
      </c>
      <c r="D13" s="85" t="s">
        <v>138</v>
      </c>
      <c r="E13" s="85" t="s">
        <v>310</v>
      </c>
      <c r="F13" s="86">
        <v>0.35</v>
      </c>
      <c r="G13" s="212">
        <v>46230</v>
      </c>
      <c r="H13" s="212">
        <v>46248</v>
      </c>
      <c r="I13" s="87">
        <f t="shared" si="5"/>
        <v>19</v>
      </c>
      <c r="J13" s="212"/>
      <c r="K13" s="212"/>
      <c r="L13" s="87" t="str">
        <f t="shared" ref="L13:L14" si="6">IF(OR(ISBLANK(J13),ISBLANK(K13)),"",K13-J13+1)</f>
        <v/>
      </c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8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89"/>
      <c r="BQ13" s="89"/>
      <c r="BR13" s="89"/>
      <c r="BS13" s="89"/>
      <c r="BT13" s="89"/>
      <c r="BU13" s="89"/>
      <c r="BV13" s="89"/>
      <c r="BW13" s="89"/>
      <c r="BX13" s="89"/>
      <c r="BY13" s="89"/>
      <c r="BZ13" s="89"/>
      <c r="CA13" s="89"/>
      <c r="CB13" s="89"/>
    </row>
    <row r="14" spans="1:80" ht="18" customHeight="1" x14ac:dyDescent="0.15">
      <c r="A14" s="85">
        <v>1</v>
      </c>
      <c r="B14" s="217" t="s">
        <v>311</v>
      </c>
      <c r="C14" s="217" t="s">
        <v>312</v>
      </c>
      <c r="D14" s="85" t="s">
        <v>143</v>
      </c>
      <c r="E14" s="85" t="s">
        <v>313</v>
      </c>
      <c r="F14" s="86">
        <v>0.6</v>
      </c>
      <c r="G14" s="212">
        <v>46230</v>
      </c>
      <c r="H14" s="212">
        <v>46237</v>
      </c>
      <c r="I14" s="87">
        <f t="shared" si="5"/>
        <v>8</v>
      </c>
      <c r="J14" s="212"/>
      <c r="K14" s="212"/>
      <c r="L14" s="87" t="str">
        <f t="shared" si="6"/>
        <v/>
      </c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90"/>
      <c r="BD14" s="90"/>
      <c r="BE14" s="90"/>
      <c r="BF14" s="90"/>
      <c r="BG14" s="79"/>
      <c r="BH14" s="79"/>
      <c r="BI14" s="79"/>
      <c r="BJ14" s="79"/>
      <c r="BK14" s="79"/>
      <c r="BL14" s="79"/>
      <c r="BM14" s="79"/>
      <c r="BN14" s="79"/>
      <c r="BO14" s="80"/>
      <c r="BP14" s="84"/>
      <c r="BQ14" s="84"/>
      <c r="BR14" s="84"/>
      <c r="BS14" s="84"/>
      <c r="BT14" s="84"/>
      <c r="BU14" s="84"/>
      <c r="BV14" s="84"/>
      <c r="BW14" s="84"/>
      <c r="BX14" s="84"/>
      <c r="BY14" s="84"/>
      <c r="BZ14" s="84"/>
      <c r="CA14" s="84"/>
      <c r="CB14" s="84"/>
    </row>
    <row r="15" spans="1:80" ht="20" customHeight="1" x14ac:dyDescent="0.15">
      <c r="A15" s="81">
        <v>2</v>
      </c>
      <c r="B15" s="288" t="s">
        <v>314</v>
      </c>
      <c r="C15" s="289" t="s">
        <v>315</v>
      </c>
      <c r="D15" s="81" t="s">
        <v>143</v>
      </c>
      <c r="E15" s="81" t="s">
        <v>313</v>
      </c>
      <c r="F15" s="82">
        <v>0.45</v>
      </c>
      <c r="G15" s="211">
        <v>46233</v>
      </c>
      <c r="H15" s="211">
        <v>46240</v>
      </c>
      <c r="I15" s="83">
        <f t="shared" si="5"/>
        <v>8</v>
      </c>
      <c r="J15" s="211"/>
      <c r="K15" s="211"/>
      <c r="L15" s="83" t="str">
        <f t="shared" ref="L15:L39" si="7">IF(OR(ISBLANK(J15),ISBLANK(K15)),"",K15-J15+1)</f>
        <v/>
      </c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80"/>
      <c r="BP15" s="84"/>
      <c r="BQ15" s="84"/>
      <c r="BR15" s="84"/>
      <c r="BS15" s="84"/>
      <c r="BT15" s="84"/>
      <c r="BU15" s="84"/>
      <c r="BV15" s="84"/>
      <c r="BW15" s="84"/>
      <c r="BX15" s="84"/>
      <c r="BY15" s="84"/>
      <c r="BZ15" s="84"/>
      <c r="CA15" s="84"/>
      <c r="CB15" s="84"/>
    </row>
    <row r="16" spans="1:80" ht="18" customHeight="1" x14ac:dyDescent="0.15">
      <c r="A16" s="85">
        <v>3</v>
      </c>
      <c r="B16" s="217" t="s">
        <v>316</v>
      </c>
      <c r="C16" s="217" t="s">
        <v>317</v>
      </c>
      <c r="D16" s="85" t="s">
        <v>143</v>
      </c>
      <c r="E16" s="85" t="s">
        <v>313</v>
      </c>
      <c r="F16" s="86">
        <v>0.35</v>
      </c>
      <c r="G16" s="212">
        <v>46237</v>
      </c>
      <c r="H16" s="212">
        <v>46246</v>
      </c>
      <c r="I16" s="87">
        <f t="shared" si="5"/>
        <v>10</v>
      </c>
      <c r="J16" s="212"/>
      <c r="K16" s="212"/>
      <c r="L16" s="87" t="str">
        <f t="shared" si="7"/>
        <v/>
      </c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80"/>
      <c r="BP16" s="84"/>
      <c r="BQ16" s="84"/>
      <c r="BR16" s="84"/>
      <c r="BS16" s="84"/>
      <c r="BT16" s="84"/>
      <c r="BU16" s="84"/>
      <c r="BV16" s="84"/>
      <c r="BW16" s="84"/>
      <c r="BX16" s="84"/>
      <c r="BY16" s="84"/>
      <c r="BZ16" s="84"/>
      <c r="CA16" s="84"/>
      <c r="CB16" s="84"/>
    </row>
    <row r="17" spans="1:80" ht="18" customHeight="1" x14ac:dyDescent="0.15">
      <c r="A17" s="85">
        <v>4</v>
      </c>
      <c r="B17" s="217" t="s">
        <v>318</v>
      </c>
      <c r="C17" s="217" t="s">
        <v>319</v>
      </c>
      <c r="D17" s="85" t="s">
        <v>143</v>
      </c>
      <c r="E17" s="85" t="s">
        <v>320</v>
      </c>
      <c r="F17" s="86">
        <v>0.25</v>
      </c>
      <c r="G17" s="212">
        <v>46241</v>
      </c>
      <c r="H17" s="212">
        <v>46248</v>
      </c>
      <c r="I17" s="87">
        <f t="shared" si="5"/>
        <v>8</v>
      </c>
      <c r="J17" s="212"/>
      <c r="K17" s="212"/>
      <c r="L17" s="87" t="str">
        <f t="shared" si="7"/>
        <v/>
      </c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X17" s="79"/>
      <c r="AY17" s="79"/>
      <c r="AZ17" s="79"/>
      <c r="BA17" s="79"/>
      <c r="BB17" s="79"/>
      <c r="BC17" s="79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80"/>
      <c r="BP17" s="84"/>
      <c r="BQ17" s="84"/>
      <c r="BR17" s="84"/>
      <c r="BS17" s="84"/>
      <c r="BT17" s="84"/>
      <c r="BU17" s="84"/>
      <c r="BV17" s="84"/>
      <c r="BW17" s="84"/>
      <c r="BX17" s="84"/>
      <c r="BY17" s="84"/>
      <c r="BZ17" s="84"/>
      <c r="CA17" s="84"/>
      <c r="CB17" s="84"/>
    </row>
    <row r="18" spans="1:80" ht="18" customHeight="1" x14ac:dyDescent="0.15">
      <c r="A18" s="85" t="s">
        <v>266</v>
      </c>
      <c r="B18" s="217" t="s">
        <v>148</v>
      </c>
      <c r="C18" s="217" t="s">
        <v>321</v>
      </c>
      <c r="D18" s="85" t="s">
        <v>138</v>
      </c>
      <c r="E18" s="85" t="s">
        <v>322</v>
      </c>
      <c r="F18" s="86">
        <v>0.1</v>
      </c>
      <c r="G18" s="212">
        <v>46244</v>
      </c>
      <c r="H18" s="212">
        <v>46269</v>
      </c>
      <c r="I18" s="87">
        <f t="shared" si="5"/>
        <v>26</v>
      </c>
      <c r="J18" s="212"/>
      <c r="K18" s="212"/>
      <c r="L18" s="87" t="str">
        <f t="shared" si="7"/>
        <v/>
      </c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80"/>
      <c r="BP18" s="84"/>
      <c r="BQ18" s="84"/>
      <c r="BR18" s="84"/>
      <c r="BS18" s="84"/>
      <c r="BT18" s="84"/>
      <c r="BU18" s="84"/>
      <c r="BV18" s="84"/>
      <c r="BW18" s="84"/>
      <c r="BX18" s="84"/>
      <c r="BY18" s="84"/>
      <c r="BZ18" s="84"/>
      <c r="CA18" s="84"/>
      <c r="CB18" s="84"/>
    </row>
    <row r="19" spans="1:80" ht="18" customHeight="1" x14ac:dyDescent="0.15">
      <c r="A19" s="85">
        <v>1</v>
      </c>
      <c r="B19" s="217" t="s">
        <v>323</v>
      </c>
      <c r="C19" s="217" t="s">
        <v>324</v>
      </c>
      <c r="D19" s="85" t="s">
        <v>146</v>
      </c>
      <c r="E19" s="85" t="s">
        <v>175</v>
      </c>
      <c r="F19" s="86">
        <v>0.2</v>
      </c>
      <c r="G19" s="212">
        <v>46244</v>
      </c>
      <c r="H19" s="212">
        <v>46252</v>
      </c>
      <c r="I19" s="87">
        <f t="shared" si="5"/>
        <v>9</v>
      </c>
      <c r="J19" s="212"/>
      <c r="K19" s="212"/>
      <c r="L19" s="87" t="str">
        <f t="shared" si="7"/>
        <v/>
      </c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80"/>
      <c r="BP19" s="84"/>
      <c r="BQ19" s="84"/>
      <c r="BR19" s="84"/>
      <c r="BS19" s="84"/>
      <c r="BT19" s="84"/>
      <c r="BU19" s="84"/>
      <c r="BV19" s="84"/>
      <c r="BW19" s="84"/>
      <c r="BX19" s="84"/>
      <c r="BY19" s="84"/>
      <c r="BZ19" s="84"/>
      <c r="CA19" s="84"/>
      <c r="CB19" s="84"/>
    </row>
    <row r="20" spans="1:80" ht="18" customHeight="1" x14ac:dyDescent="0.15">
      <c r="A20" s="85">
        <v>2</v>
      </c>
      <c r="B20" s="217" t="s">
        <v>221</v>
      </c>
      <c r="C20" s="217" t="s">
        <v>325</v>
      </c>
      <c r="D20" s="85" t="s">
        <v>146</v>
      </c>
      <c r="E20" s="85" t="s">
        <v>175</v>
      </c>
      <c r="F20" s="86">
        <v>0.1</v>
      </c>
      <c r="G20" s="212">
        <v>46251</v>
      </c>
      <c r="H20" s="212">
        <v>46258</v>
      </c>
      <c r="I20" s="87">
        <f t="shared" si="5"/>
        <v>8</v>
      </c>
      <c r="J20" s="212"/>
      <c r="K20" s="212"/>
      <c r="L20" s="87" t="str">
        <f t="shared" si="7"/>
        <v/>
      </c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8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89"/>
      <c r="BQ20" s="89"/>
      <c r="BR20" s="89"/>
      <c r="BS20" s="89"/>
      <c r="BT20" s="89"/>
      <c r="BU20" s="89"/>
      <c r="BV20" s="89"/>
      <c r="BW20" s="89"/>
      <c r="BX20" s="89"/>
      <c r="BY20" s="89"/>
      <c r="BZ20" s="89"/>
      <c r="CA20" s="89"/>
      <c r="CB20" s="89"/>
    </row>
    <row r="21" spans="1:80" ht="20" customHeight="1" x14ac:dyDescent="0.15">
      <c r="A21" s="81">
        <v>3</v>
      </c>
      <c r="B21" s="288" t="s">
        <v>326</v>
      </c>
      <c r="C21" s="289" t="s">
        <v>327</v>
      </c>
      <c r="D21" s="81" t="s">
        <v>143</v>
      </c>
      <c r="E21" s="81" t="s">
        <v>175</v>
      </c>
      <c r="F21" s="82">
        <v>0</v>
      </c>
      <c r="G21" s="211">
        <v>46254</v>
      </c>
      <c r="H21" s="211">
        <v>46265</v>
      </c>
      <c r="I21" s="83">
        <f t="shared" si="5"/>
        <v>12</v>
      </c>
      <c r="J21" s="215"/>
      <c r="K21" s="215"/>
      <c r="L21" s="83" t="str">
        <f t="shared" si="7"/>
        <v/>
      </c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80"/>
      <c r="BP21" s="84"/>
      <c r="BQ21" s="84"/>
      <c r="BR21" s="84"/>
      <c r="BS21" s="84"/>
      <c r="BT21" s="84"/>
      <c r="BU21" s="84"/>
      <c r="BV21" s="84"/>
      <c r="BW21" s="84"/>
      <c r="BX21" s="84"/>
      <c r="BY21" s="84"/>
      <c r="BZ21" s="84"/>
      <c r="CA21" s="84"/>
      <c r="CB21" s="84"/>
    </row>
    <row r="22" spans="1:80" ht="18" customHeight="1" x14ac:dyDescent="0.15">
      <c r="A22" s="91">
        <v>4</v>
      </c>
      <c r="B22" s="218" t="s">
        <v>225</v>
      </c>
      <c r="C22" s="217" t="s">
        <v>328</v>
      </c>
      <c r="D22" s="85" t="s">
        <v>146</v>
      </c>
      <c r="E22" s="85" t="s">
        <v>175</v>
      </c>
      <c r="F22" s="86">
        <v>0</v>
      </c>
      <c r="G22" s="213">
        <v>46259</v>
      </c>
      <c r="H22" s="213">
        <v>46267</v>
      </c>
      <c r="I22" s="87">
        <f t="shared" si="5"/>
        <v>9</v>
      </c>
      <c r="J22" s="212"/>
      <c r="K22" s="212"/>
      <c r="L22" s="87" t="str">
        <f t="shared" si="7"/>
        <v/>
      </c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80"/>
      <c r="BP22" s="84"/>
      <c r="BQ22" s="84"/>
      <c r="BR22" s="84"/>
      <c r="BS22" s="84"/>
      <c r="BT22" s="84"/>
      <c r="BU22" s="84"/>
      <c r="BV22" s="84"/>
      <c r="BW22" s="84"/>
      <c r="BX22" s="84"/>
      <c r="BY22" s="84"/>
      <c r="BZ22" s="84"/>
      <c r="CA22" s="84"/>
      <c r="CB22" s="84"/>
    </row>
    <row r="23" spans="1:80" ht="18" customHeight="1" x14ac:dyDescent="0.15">
      <c r="A23" s="92">
        <v>5</v>
      </c>
      <c r="B23" s="219" t="s">
        <v>329</v>
      </c>
      <c r="C23" s="220" t="s">
        <v>330</v>
      </c>
      <c r="D23" s="85" t="s">
        <v>146</v>
      </c>
      <c r="E23" s="85" t="s">
        <v>175</v>
      </c>
      <c r="F23" s="86">
        <v>0</v>
      </c>
      <c r="G23" s="214">
        <v>46262</v>
      </c>
      <c r="H23" s="214">
        <v>46269</v>
      </c>
      <c r="I23" s="93">
        <f t="shared" si="5"/>
        <v>8</v>
      </c>
      <c r="J23" s="212"/>
      <c r="K23" s="212"/>
      <c r="L23" s="87" t="str">
        <f t="shared" si="7"/>
        <v/>
      </c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79"/>
      <c r="BF23" s="79"/>
      <c r="BG23" s="79"/>
      <c r="BH23" s="79"/>
      <c r="BI23" s="79"/>
      <c r="BJ23" s="79"/>
      <c r="BK23" s="79"/>
      <c r="BL23" s="79"/>
      <c r="BM23" s="79"/>
      <c r="BN23" s="79"/>
      <c r="BO23" s="80"/>
      <c r="BP23" s="84"/>
      <c r="BQ23" s="84"/>
      <c r="BR23" s="84"/>
      <c r="BS23" s="84"/>
      <c r="BT23" s="84"/>
      <c r="BU23" s="84"/>
      <c r="BV23" s="84"/>
      <c r="BW23" s="84"/>
      <c r="BX23" s="84"/>
      <c r="BY23" s="84"/>
      <c r="BZ23" s="84"/>
      <c r="CA23" s="84"/>
      <c r="CB23" s="84"/>
    </row>
    <row r="24" spans="1:80" ht="18" customHeight="1" x14ac:dyDescent="0.15">
      <c r="A24" s="92" t="s">
        <v>331</v>
      </c>
      <c r="B24" s="219" t="s">
        <v>156</v>
      </c>
      <c r="C24" s="217" t="s">
        <v>332</v>
      </c>
      <c r="D24" s="85" t="s">
        <v>138</v>
      </c>
      <c r="E24" s="85" t="s">
        <v>333</v>
      </c>
      <c r="F24" s="86">
        <v>0</v>
      </c>
      <c r="G24" s="212">
        <v>46266</v>
      </c>
      <c r="H24" s="212">
        <v>46283</v>
      </c>
      <c r="I24" s="87">
        <f t="shared" si="5"/>
        <v>18</v>
      </c>
      <c r="J24" s="212"/>
      <c r="K24" s="212"/>
      <c r="L24" s="87" t="str">
        <f t="shared" si="7"/>
        <v/>
      </c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79"/>
      <c r="BF24" s="79"/>
      <c r="BG24" s="79"/>
      <c r="BH24" s="79"/>
      <c r="BI24" s="79"/>
      <c r="BJ24" s="79"/>
      <c r="BK24" s="79"/>
      <c r="BL24" s="79"/>
      <c r="BM24" s="79"/>
      <c r="BN24" s="79"/>
      <c r="BO24" s="80"/>
      <c r="BP24" s="84"/>
      <c r="BQ24" s="84"/>
      <c r="BR24" s="84"/>
      <c r="BS24" s="84"/>
      <c r="BT24" s="84"/>
      <c r="BU24" s="84"/>
      <c r="BV24" s="84"/>
      <c r="BW24" s="84"/>
      <c r="BX24" s="84"/>
      <c r="BY24" s="84"/>
      <c r="BZ24" s="84"/>
      <c r="CA24" s="84"/>
      <c r="CB24" s="84"/>
    </row>
    <row r="25" spans="1:80" ht="18" customHeight="1" x14ac:dyDescent="0.15">
      <c r="A25" s="92">
        <v>1</v>
      </c>
      <c r="B25" s="219" t="s">
        <v>334</v>
      </c>
      <c r="C25" s="217" t="s">
        <v>335</v>
      </c>
      <c r="D25" s="85" t="s">
        <v>143</v>
      </c>
      <c r="E25" s="85" t="s">
        <v>320</v>
      </c>
      <c r="F25" s="86">
        <v>0</v>
      </c>
      <c r="G25" s="212">
        <v>46266</v>
      </c>
      <c r="H25" s="212">
        <v>46273</v>
      </c>
      <c r="I25" s="87">
        <f t="shared" si="5"/>
        <v>8</v>
      </c>
      <c r="J25" s="212"/>
      <c r="K25" s="212"/>
      <c r="L25" s="87" t="str">
        <f t="shared" si="7"/>
        <v/>
      </c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80"/>
      <c r="BP25" s="84"/>
      <c r="BQ25" s="84"/>
      <c r="BR25" s="84"/>
      <c r="BS25" s="84"/>
      <c r="BT25" s="84"/>
      <c r="BU25" s="84"/>
      <c r="BV25" s="84"/>
      <c r="BW25" s="84"/>
      <c r="BX25" s="84"/>
      <c r="BY25" s="84"/>
      <c r="BZ25" s="84"/>
      <c r="CA25" s="84"/>
      <c r="CB25" s="84"/>
    </row>
    <row r="26" spans="1:80" ht="18" customHeight="1" x14ac:dyDescent="0.15">
      <c r="A26" s="92">
        <v>2</v>
      </c>
      <c r="B26" s="219" t="s">
        <v>336</v>
      </c>
      <c r="C26" s="217" t="s">
        <v>337</v>
      </c>
      <c r="D26" s="85" t="s">
        <v>338</v>
      </c>
      <c r="E26" s="85" t="s">
        <v>313</v>
      </c>
      <c r="F26" s="86">
        <v>0</v>
      </c>
      <c r="G26" s="212">
        <v>46269</v>
      </c>
      <c r="H26" s="212">
        <v>46279</v>
      </c>
      <c r="I26" s="87">
        <f t="shared" si="5"/>
        <v>11</v>
      </c>
      <c r="J26" s="212"/>
      <c r="K26" s="212"/>
      <c r="L26" s="87" t="str">
        <f t="shared" si="7"/>
        <v/>
      </c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80"/>
      <c r="BP26" s="84"/>
      <c r="BQ26" s="84"/>
      <c r="BR26" s="84"/>
      <c r="BS26" s="84"/>
      <c r="BT26" s="84"/>
      <c r="BU26" s="84"/>
      <c r="BV26" s="84"/>
      <c r="BW26" s="84"/>
      <c r="BX26" s="84"/>
      <c r="BY26" s="84"/>
      <c r="BZ26" s="84"/>
      <c r="CA26" s="84"/>
      <c r="CB26" s="84"/>
    </row>
    <row r="27" spans="1:80" ht="18" customHeight="1" x14ac:dyDescent="0.15">
      <c r="A27" s="92">
        <v>3</v>
      </c>
      <c r="B27" s="219" t="s">
        <v>238</v>
      </c>
      <c r="C27" s="217" t="s">
        <v>339</v>
      </c>
      <c r="D27" s="85" t="s">
        <v>320</v>
      </c>
      <c r="E27" s="85" t="s">
        <v>340</v>
      </c>
      <c r="F27" s="86">
        <v>0</v>
      </c>
      <c r="G27" s="212">
        <v>46273</v>
      </c>
      <c r="H27" s="212">
        <v>46281</v>
      </c>
      <c r="I27" s="87">
        <f t="shared" si="5"/>
        <v>9</v>
      </c>
      <c r="J27" s="212"/>
      <c r="K27" s="212"/>
      <c r="L27" s="87" t="str">
        <f t="shared" si="7"/>
        <v/>
      </c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80"/>
      <c r="BP27" s="84"/>
      <c r="BQ27" s="84"/>
      <c r="BR27" s="84"/>
      <c r="BS27" s="84"/>
      <c r="BT27" s="84"/>
      <c r="BU27" s="84"/>
      <c r="BV27" s="84"/>
      <c r="BW27" s="84"/>
      <c r="BX27" s="84"/>
      <c r="BY27" s="84"/>
      <c r="BZ27" s="84"/>
      <c r="CA27" s="84"/>
      <c r="CB27" s="84"/>
    </row>
    <row r="28" spans="1:80" ht="18" customHeight="1" x14ac:dyDescent="0.15">
      <c r="A28" s="92">
        <v>4</v>
      </c>
      <c r="B28" s="219" t="s">
        <v>241</v>
      </c>
      <c r="C28" s="217" t="s">
        <v>242</v>
      </c>
      <c r="D28" s="85" t="s">
        <v>146</v>
      </c>
      <c r="E28" s="85" t="s">
        <v>175</v>
      </c>
      <c r="F28" s="86">
        <v>0</v>
      </c>
      <c r="G28" s="212">
        <v>46276</v>
      </c>
      <c r="H28" s="212">
        <v>46283</v>
      </c>
      <c r="I28" s="87">
        <f t="shared" si="5"/>
        <v>8</v>
      </c>
      <c r="J28" s="212"/>
      <c r="K28" s="212"/>
      <c r="L28" s="87" t="str">
        <f t="shared" si="7"/>
        <v/>
      </c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80"/>
      <c r="BP28" s="84"/>
      <c r="BQ28" s="84"/>
      <c r="BR28" s="84"/>
      <c r="BS28" s="84"/>
      <c r="BT28" s="84"/>
      <c r="BU28" s="84"/>
      <c r="BV28" s="84"/>
      <c r="BW28" s="84"/>
      <c r="BX28" s="84"/>
      <c r="BY28" s="84"/>
      <c r="BZ28" s="84"/>
      <c r="CA28" s="84"/>
      <c r="CB28" s="84"/>
    </row>
    <row r="29" spans="1:80" ht="18" customHeight="1" x14ac:dyDescent="0.15">
      <c r="A29" s="92" t="s">
        <v>341</v>
      </c>
      <c r="B29" s="219" t="s">
        <v>164</v>
      </c>
      <c r="C29" s="217" t="s">
        <v>342</v>
      </c>
      <c r="D29" s="85" t="s">
        <v>138</v>
      </c>
      <c r="E29" s="85" t="s">
        <v>343</v>
      </c>
      <c r="F29" s="86">
        <v>0</v>
      </c>
      <c r="G29" s="212">
        <v>46279</v>
      </c>
      <c r="H29" s="212">
        <v>46297</v>
      </c>
      <c r="I29" s="87">
        <f t="shared" si="5"/>
        <v>19</v>
      </c>
      <c r="J29" s="212"/>
      <c r="K29" s="212"/>
      <c r="L29" s="87" t="str">
        <f t="shared" si="7"/>
        <v/>
      </c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80"/>
      <c r="BP29" s="84"/>
      <c r="BQ29" s="84"/>
      <c r="BR29" s="84"/>
      <c r="BS29" s="84"/>
      <c r="BT29" s="84"/>
      <c r="BU29" s="84"/>
      <c r="BV29" s="84"/>
      <c r="BW29" s="84"/>
      <c r="BX29" s="84"/>
      <c r="BY29" s="84"/>
      <c r="BZ29" s="84"/>
      <c r="CA29" s="84"/>
      <c r="CB29" s="84"/>
    </row>
    <row r="30" spans="1:80" ht="18" customHeight="1" x14ac:dyDescent="0.15">
      <c r="A30" s="92">
        <v>1</v>
      </c>
      <c r="B30" s="219" t="s">
        <v>344</v>
      </c>
      <c r="C30" s="217" t="s">
        <v>345</v>
      </c>
      <c r="D30" s="85" t="s">
        <v>146</v>
      </c>
      <c r="E30" s="85" t="s">
        <v>175</v>
      </c>
      <c r="F30" s="86">
        <v>0</v>
      </c>
      <c r="G30" s="212">
        <v>46279</v>
      </c>
      <c r="H30" s="212">
        <v>46287</v>
      </c>
      <c r="I30" s="87">
        <f t="shared" si="5"/>
        <v>9</v>
      </c>
      <c r="J30" s="212"/>
      <c r="K30" s="212"/>
      <c r="L30" s="87" t="str">
        <f t="shared" si="7"/>
        <v/>
      </c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80"/>
      <c r="BP30" s="84"/>
      <c r="BQ30" s="84"/>
      <c r="BR30" s="84"/>
      <c r="BS30" s="84"/>
      <c r="BT30" s="84"/>
      <c r="BU30" s="84"/>
      <c r="BV30" s="84"/>
      <c r="BW30" s="84"/>
      <c r="BX30" s="84"/>
      <c r="BY30" s="84"/>
      <c r="BZ30" s="84"/>
      <c r="CA30" s="84"/>
      <c r="CB30" s="84"/>
    </row>
    <row r="31" spans="1:80" ht="18" customHeight="1" x14ac:dyDescent="0.15">
      <c r="A31" s="92">
        <v>2</v>
      </c>
      <c r="B31" s="219" t="s">
        <v>346</v>
      </c>
      <c r="C31" s="217" t="s">
        <v>347</v>
      </c>
      <c r="D31" s="85" t="s">
        <v>146</v>
      </c>
      <c r="E31" s="85" t="s">
        <v>175</v>
      </c>
      <c r="F31" s="86">
        <v>0</v>
      </c>
      <c r="G31" s="212">
        <v>46283</v>
      </c>
      <c r="H31" s="212">
        <v>46290</v>
      </c>
      <c r="I31" s="87">
        <f t="shared" si="5"/>
        <v>8</v>
      </c>
      <c r="J31" s="212"/>
      <c r="K31" s="212"/>
      <c r="L31" s="87" t="str">
        <f t="shared" si="7"/>
        <v/>
      </c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80"/>
      <c r="BP31" s="84"/>
      <c r="BQ31" s="84"/>
      <c r="BR31" s="84"/>
      <c r="BS31" s="84"/>
      <c r="BT31" s="84"/>
      <c r="BU31" s="84"/>
      <c r="BV31" s="84"/>
      <c r="BW31" s="84"/>
      <c r="BX31" s="84"/>
      <c r="BY31" s="84"/>
      <c r="BZ31" s="84"/>
      <c r="CA31" s="84"/>
      <c r="CB31" s="84"/>
    </row>
    <row r="32" spans="1:80" ht="18" customHeight="1" x14ac:dyDescent="0.15">
      <c r="A32" s="92">
        <v>3</v>
      </c>
      <c r="B32" s="219" t="s">
        <v>348</v>
      </c>
      <c r="C32" s="217" t="s">
        <v>349</v>
      </c>
      <c r="D32" s="85" t="s">
        <v>143</v>
      </c>
      <c r="E32" s="85" t="s">
        <v>313</v>
      </c>
      <c r="F32" s="86">
        <v>0</v>
      </c>
      <c r="G32" s="212">
        <v>46286</v>
      </c>
      <c r="H32" s="212">
        <v>46295</v>
      </c>
      <c r="I32" s="87">
        <f t="shared" si="5"/>
        <v>10</v>
      </c>
      <c r="J32" s="212"/>
      <c r="K32" s="212"/>
      <c r="L32" s="87" t="str">
        <f t="shared" si="7"/>
        <v/>
      </c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80"/>
      <c r="BP32" s="84"/>
      <c r="BQ32" s="84"/>
      <c r="BR32" s="84"/>
      <c r="BS32" s="84"/>
      <c r="BT32" s="84"/>
      <c r="BU32" s="84"/>
      <c r="BV32" s="84"/>
      <c r="BW32" s="84"/>
      <c r="BX32" s="84"/>
      <c r="BY32" s="84"/>
      <c r="BZ32" s="84"/>
      <c r="CA32" s="84"/>
      <c r="CB32" s="84"/>
    </row>
    <row r="33" spans="1:80" ht="18" customHeight="1" x14ac:dyDescent="0.15">
      <c r="A33" s="92">
        <v>4</v>
      </c>
      <c r="B33" s="219" t="s">
        <v>170</v>
      </c>
      <c r="C33" s="217" t="s">
        <v>350</v>
      </c>
      <c r="D33" s="85" t="s">
        <v>146</v>
      </c>
      <c r="E33" s="85" t="s">
        <v>175</v>
      </c>
      <c r="F33" s="86">
        <v>0</v>
      </c>
      <c r="G33" s="212">
        <v>46290</v>
      </c>
      <c r="H33" s="212">
        <v>46297</v>
      </c>
      <c r="I33" s="87">
        <f t="shared" si="5"/>
        <v>8</v>
      </c>
      <c r="J33" s="212"/>
      <c r="K33" s="212"/>
      <c r="L33" s="87" t="str">
        <f t="shared" si="7"/>
        <v/>
      </c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9"/>
      <c r="BB33" s="79"/>
      <c r="BC33" s="79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80"/>
      <c r="BP33" s="84"/>
      <c r="BQ33" s="84"/>
      <c r="BR33" s="84"/>
      <c r="BS33" s="84"/>
      <c r="BT33" s="84"/>
      <c r="BU33" s="84"/>
      <c r="BV33" s="84"/>
      <c r="BW33" s="84"/>
      <c r="BX33" s="84"/>
      <c r="BY33" s="84"/>
      <c r="BZ33" s="84"/>
      <c r="CA33" s="84"/>
      <c r="CB33" s="84"/>
    </row>
    <row r="34" spans="1:80" ht="18" customHeight="1" x14ac:dyDescent="0.15">
      <c r="A34" s="92" t="s">
        <v>351</v>
      </c>
      <c r="B34" s="221" t="s">
        <v>352</v>
      </c>
      <c r="C34" s="217" t="s">
        <v>353</v>
      </c>
      <c r="D34" s="85" t="s">
        <v>132</v>
      </c>
      <c r="E34" s="85" t="s">
        <v>354</v>
      </c>
      <c r="F34" s="86">
        <v>0</v>
      </c>
      <c r="G34" s="214">
        <v>46293</v>
      </c>
      <c r="H34" s="214">
        <v>46311</v>
      </c>
      <c r="I34" s="93">
        <f t="shared" si="5"/>
        <v>19</v>
      </c>
      <c r="J34" s="212"/>
      <c r="K34" s="212"/>
      <c r="L34" s="87" t="str">
        <f t="shared" si="7"/>
        <v/>
      </c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/>
      <c r="AT34" s="79"/>
      <c r="AU34" s="79"/>
      <c r="AV34" s="79"/>
      <c r="AW34" s="79"/>
      <c r="AX34" s="79"/>
      <c r="AY34" s="79"/>
      <c r="AZ34" s="79"/>
      <c r="BA34" s="79"/>
      <c r="BB34" s="79"/>
      <c r="BC34" s="79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80"/>
      <c r="BP34" s="84"/>
      <c r="BQ34" s="84"/>
      <c r="BR34" s="84"/>
      <c r="BS34" s="84"/>
      <c r="BT34" s="84"/>
      <c r="BU34" s="84"/>
      <c r="BV34" s="84"/>
      <c r="BW34" s="84"/>
      <c r="BX34" s="84"/>
      <c r="BY34" s="84"/>
      <c r="BZ34" s="84"/>
      <c r="CA34" s="84"/>
      <c r="CB34" s="84"/>
    </row>
    <row r="35" spans="1:80" ht="18" customHeight="1" x14ac:dyDescent="0.15">
      <c r="A35" s="92">
        <v>1</v>
      </c>
      <c r="B35" s="219" t="s">
        <v>355</v>
      </c>
      <c r="C35" s="217" t="s">
        <v>356</v>
      </c>
      <c r="D35" s="85" t="s">
        <v>175</v>
      </c>
      <c r="E35" s="85" t="s">
        <v>310</v>
      </c>
      <c r="F35" s="86">
        <v>0</v>
      </c>
      <c r="G35" s="212">
        <v>46293</v>
      </c>
      <c r="H35" s="212">
        <v>46302</v>
      </c>
      <c r="I35" s="87">
        <f t="shared" si="5"/>
        <v>10</v>
      </c>
      <c r="J35" s="212"/>
      <c r="K35" s="212"/>
      <c r="L35" s="87" t="str">
        <f t="shared" si="7"/>
        <v/>
      </c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  <c r="AU35" s="79"/>
      <c r="AV35" s="79"/>
      <c r="AW35" s="79"/>
      <c r="AX35" s="79"/>
      <c r="AY35" s="79"/>
      <c r="AZ35" s="79"/>
      <c r="BA35" s="79"/>
      <c r="BB35" s="79"/>
      <c r="BC35" s="79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80"/>
      <c r="BP35" s="84"/>
      <c r="BQ35" s="84"/>
      <c r="BR35" s="84"/>
      <c r="BS35" s="84"/>
      <c r="BT35" s="84"/>
      <c r="BU35" s="84"/>
      <c r="BV35" s="84"/>
      <c r="BW35" s="84"/>
      <c r="BX35" s="84"/>
      <c r="BY35" s="84"/>
      <c r="BZ35" s="84"/>
      <c r="CA35" s="84"/>
      <c r="CB35" s="84"/>
    </row>
    <row r="36" spans="1:80" ht="18" customHeight="1" x14ac:dyDescent="0.15">
      <c r="A36" s="91">
        <v>2</v>
      </c>
      <c r="B36" s="218" t="s">
        <v>357</v>
      </c>
      <c r="C36" s="217" t="s">
        <v>358</v>
      </c>
      <c r="D36" s="85" t="s">
        <v>178</v>
      </c>
      <c r="E36" s="85" t="s">
        <v>359</v>
      </c>
      <c r="F36" s="86">
        <v>0</v>
      </c>
      <c r="G36" s="214">
        <v>46300</v>
      </c>
      <c r="H36" s="214">
        <v>46307</v>
      </c>
      <c r="I36" s="93">
        <f t="shared" si="5"/>
        <v>8</v>
      </c>
      <c r="J36" s="212"/>
      <c r="K36" s="212"/>
      <c r="L36" s="87" t="str">
        <f t="shared" si="7"/>
        <v/>
      </c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79"/>
      <c r="BB36" s="79"/>
      <c r="BC36" s="79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80"/>
      <c r="BP36" s="84"/>
      <c r="BQ36" s="84"/>
      <c r="BR36" s="84"/>
      <c r="BS36" s="84"/>
      <c r="BT36" s="84"/>
      <c r="BU36" s="84"/>
      <c r="BV36" s="84"/>
      <c r="BW36" s="84"/>
      <c r="BX36" s="84"/>
      <c r="BY36" s="84"/>
      <c r="BZ36" s="84"/>
      <c r="CA36" s="84"/>
      <c r="CB36" s="84"/>
    </row>
    <row r="37" spans="1:80" ht="18" customHeight="1" x14ac:dyDescent="0.15">
      <c r="A37" s="92">
        <v>3</v>
      </c>
      <c r="B37" s="219" t="s">
        <v>360</v>
      </c>
      <c r="C37" s="217" t="s">
        <v>361</v>
      </c>
      <c r="D37" s="85" t="s">
        <v>362</v>
      </c>
      <c r="E37" s="85" t="s">
        <v>143</v>
      </c>
      <c r="F37" s="86">
        <v>0</v>
      </c>
      <c r="G37" s="212">
        <v>46302</v>
      </c>
      <c r="H37" s="212">
        <v>46308</v>
      </c>
      <c r="I37" s="87">
        <f t="shared" si="5"/>
        <v>7</v>
      </c>
      <c r="J37" s="212"/>
      <c r="K37" s="212"/>
      <c r="L37" s="87" t="str">
        <f t="shared" si="7"/>
        <v/>
      </c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79"/>
      <c r="AS37" s="79"/>
      <c r="AT37" s="79"/>
      <c r="AU37" s="79"/>
      <c r="AV37" s="79"/>
      <c r="AW37" s="79"/>
      <c r="AX37" s="79"/>
      <c r="AY37" s="79"/>
      <c r="AZ37" s="79"/>
      <c r="BA37" s="79"/>
      <c r="BB37" s="79"/>
      <c r="BC37" s="79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80"/>
      <c r="BP37" s="84"/>
      <c r="BQ37" s="84"/>
      <c r="BR37" s="84"/>
      <c r="BS37" s="84"/>
      <c r="BT37" s="84"/>
      <c r="BU37" s="84"/>
      <c r="BV37" s="84"/>
      <c r="BW37" s="84"/>
      <c r="BX37" s="84"/>
      <c r="BY37" s="84"/>
      <c r="BZ37" s="84"/>
      <c r="CA37" s="84"/>
      <c r="CB37" s="84"/>
    </row>
    <row r="38" spans="1:80" ht="18" customHeight="1" x14ac:dyDescent="0.15">
      <c r="A38" s="92">
        <v>4</v>
      </c>
      <c r="B38" s="219" t="s">
        <v>363</v>
      </c>
      <c r="C38" s="217" t="s">
        <v>364</v>
      </c>
      <c r="D38" s="85" t="s">
        <v>132</v>
      </c>
      <c r="E38" s="85" t="s">
        <v>354</v>
      </c>
      <c r="F38" s="86">
        <v>0</v>
      </c>
      <c r="G38" s="212">
        <v>46309</v>
      </c>
      <c r="H38" s="212">
        <v>46310</v>
      </c>
      <c r="I38" s="87">
        <f t="shared" si="5"/>
        <v>2</v>
      </c>
      <c r="J38" s="212"/>
      <c r="K38" s="212"/>
      <c r="L38" s="87" t="str">
        <f t="shared" si="7"/>
        <v/>
      </c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80"/>
      <c r="BP38" s="84"/>
      <c r="BQ38" s="84"/>
      <c r="BR38" s="84"/>
      <c r="BS38" s="84"/>
      <c r="BT38" s="84"/>
      <c r="BU38" s="84"/>
      <c r="BV38" s="84"/>
      <c r="BW38" s="84"/>
      <c r="BX38" s="84"/>
      <c r="BY38" s="84"/>
      <c r="BZ38" s="84"/>
      <c r="CA38" s="84"/>
      <c r="CB38" s="84"/>
    </row>
    <row r="39" spans="1:80" ht="18" customHeight="1" x14ac:dyDescent="0.15">
      <c r="A39" s="92">
        <v>5</v>
      </c>
      <c r="B39" s="219" t="s">
        <v>365</v>
      </c>
      <c r="C39" s="217" t="s">
        <v>366</v>
      </c>
      <c r="D39" s="85" t="s">
        <v>132</v>
      </c>
      <c r="E39" s="85" t="s">
        <v>300</v>
      </c>
      <c r="F39" s="86">
        <v>0</v>
      </c>
      <c r="G39" s="212">
        <v>46311</v>
      </c>
      <c r="H39" s="212">
        <v>46311</v>
      </c>
      <c r="I39" s="87">
        <f t="shared" si="5"/>
        <v>1</v>
      </c>
      <c r="J39" s="212"/>
      <c r="K39" s="212"/>
      <c r="L39" s="87" t="str">
        <f t="shared" si="7"/>
        <v/>
      </c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79"/>
      <c r="BB39" s="79"/>
      <c r="BC39" s="79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80"/>
      <c r="BP39" s="84"/>
      <c r="BQ39" s="84"/>
      <c r="BR39" s="84"/>
      <c r="BS39" s="84"/>
      <c r="BT39" s="84"/>
      <c r="BU39" s="84"/>
      <c r="BV39" s="84"/>
      <c r="BW39" s="84"/>
      <c r="BX39" s="84"/>
      <c r="BY39" s="84"/>
      <c r="BZ39" s="84"/>
      <c r="CA39" s="84"/>
      <c r="CB39" s="84"/>
    </row>
    <row r="40" spans="1:80" ht="18" customHeight="1" x14ac:dyDescent="0.15">
      <c r="BP40" s="84"/>
      <c r="BQ40" s="84"/>
      <c r="BR40" s="84"/>
      <c r="BS40" s="84"/>
      <c r="BT40" s="84"/>
      <c r="BU40" s="84"/>
      <c r="BV40" s="84"/>
      <c r="BW40" s="84"/>
      <c r="BX40" s="84"/>
      <c r="BY40" s="84"/>
      <c r="BZ40" s="84"/>
      <c r="CA40" s="84"/>
      <c r="CB40" s="84"/>
    </row>
    <row r="41" spans="1:80" ht="18" customHeight="1" x14ac:dyDescent="0.15">
      <c r="BP41" s="84"/>
      <c r="BQ41" s="84"/>
      <c r="BR41" s="84"/>
      <c r="BS41" s="84"/>
      <c r="BT41" s="84"/>
      <c r="BU41" s="84"/>
      <c r="BV41" s="84"/>
      <c r="BW41" s="84"/>
      <c r="BX41" s="84"/>
      <c r="BY41" s="84"/>
      <c r="BZ41" s="84"/>
      <c r="CA41" s="84"/>
      <c r="CB41" s="84"/>
    </row>
    <row r="42" spans="1:80" ht="18" customHeight="1" x14ac:dyDescent="0.15">
      <c r="BP42" s="84"/>
      <c r="BQ42" s="84"/>
      <c r="BR42" s="84"/>
      <c r="BS42" s="84"/>
      <c r="BT42" s="84"/>
      <c r="BU42" s="84"/>
      <c r="BV42" s="84"/>
      <c r="BW42" s="84"/>
      <c r="BX42" s="84"/>
      <c r="BY42" s="84"/>
      <c r="BZ42" s="84"/>
      <c r="CA42" s="84"/>
      <c r="CB42" s="84"/>
    </row>
    <row r="43" spans="1:80" ht="18" customHeight="1" x14ac:dyDescent="0.15">
      <c r="BP43" s="84"/>
      <c r="BQ43" s="84"/>
      <c r="BR43" s="84"/>
      <c r="BS43" s="84"/>
      <c r="BT43" s="84"/>
      <c r="BU43" s="84"/>
      <c r="BV43" s="84"/>
      <c r="BW43" s="84"/>
      <c r="BX43" s="84"/>
      <c r="BY43" s="84"/>
      <c r="BZ43" s="84"/>
      <c r="CA43" s="84"/>
      <c r="CB43" s="84"/>
    </row>
    <row r="44" spans="1:80" ht="18" customHeight="1" x14ac:dyDescent="0.15">
      <c r="BP44" s="84"/>
      <c r="BQ44" s="84"/>
      <c r="BR44" s="84"/>
      <c r="BS44" s="84"/>
      <c r="BT44" s="84"/>
      <c r="BU44" s="84"/>
      <c r="BV44" s="84"/>
      <c r="BW44" s="84"/>
      <c r="BX44" s="84"/>
      <c r="BY44" s="84"/>
      <c r="BZ44" s="84"/>
      <c r="CA44" s="84"/>
      <c r="CB44" s="84"/>
    </row>
    <row r="45" spans="1:80" ht="18" customHeight="1" x14ac:dyDescent="0.15">
      <c r="BP45" s="84"/>
      <c r="BQ45" s="84"/>
      <c r="BR45" s="84"/>
      <c r="BS45" s="84"/>
      <c r="BT45" s="84"/>
      <c r="BU45" s="84"/>
      <c r="BV45" s="84"/>
      <c r="BW45" s="84"/>
      <c r="BX45" s="84"/>
      <c r="BY45" s="84"/>
      <c r="BZ45" s="84"/>
      <c r="CA45" s="84"/>
      <c r="CB45" s="84"/>
    </row>
    <row r="46" spans="1:80" ht="18" customHeight="1" x14ac:dyDescent="0.15">
      <c r="BP46" s="84"/>
      <c r="BQ46" s="84"/>
      <c r="BR46" s="84"/>
      <c r="BS46" s="84"/>
      <c r="BT46" s="84"/>
      <c r="BU46" s="84"/>
      <c r="BV46" s="84"/>
      <c r="BW46" s="84"/>
      <c r="BX46" s="84"/>
      <c r="BY46" s="84"/>
      <c r="BZ46" s="84"/>
      <c r="CA46" s="84"/>
      <c r="CB46" s="84"/>
    </row>
    <row r="47" spans="1:80" ht="18" customHeight="1" x14ac:dyDescent="0.15">
      <c r="BP47" s="84"/>
      <c r="BQ47" s="84"/>
      <c r="BR47" s="84"/>
      <c r="BS47" s="84"/>
      <c r="BT47" s="84"/>
      <c r="BU47" s="84"/>
      <c r="BV47" s="84"/>
      <c r="BW47" s="84"/>
      <c r="BX47" s="84"/>
      <c r="BY47" s="84"/>
      <c r="BZ47" s="84"/>
      <c r="CA47" s="84"/>
      <c r="CB47" s="84"/>
    </row>
    <row r="48" spans="1:80" ht="18" customHeight="1" x14ac:dyDescent="0.15">
      <c r="BP48" s="84"/>
      <c r="BQ48" s="84"/>
      <c r="BR48" s="84"/>
      <c r="BS48" s="84"/>
      <c r="BT48" s="84"/>
      <c r="BU48" s="84"/>
      <c r="BV48" s="84"/>
      <c r="BW48" s="84"/>
      <c r="BX48" s="84"/>
      <c r="BY48" s="84"/>
      <c r="BZ48" s="84"/>
      <c r="CA48" s="84"/>
      <c r="CB48" s="84"/>
    </row>
    <row r="49" spans="2:80" ht="18" customHeight="1" x14ac:dyDescent="0.15">
      <c r="BP49" s="84"/>
      <c r="BQ49" s="84"/>
      <c r="BR49" s="84"/>
      <c r="BS49" s="84"/>
      <c r="BT49" s="84"/>
      <c r="BU49" s="84"/>
      <c r="BV49" s="84"/>
      <c r="BW49" s="84"/>
      <c r="BX49" s="84"/>
      <c r="BY49" s="84"/>
      <c r="BZ49" s="84"/>
      <c r="CA49" s="84"/>
      <c r="CB49" s="84"/>
    </row>
    <row r="50" spans="2:80" ht="18" customHeight="1" x14ac:dyDescent="0.15">
      <c r="BP50" s="84"/>
      <c r="BQ50" s="84"/>
      <c r="BR50" s="84"/>
      <c r="BS50" s="84"/>
      <c r="BT50" s="84"/>
      <c r="BU50" s="84"/>
      <c r="BV50" s="84"/>
      <c r="BW50" s="84"/>
      <c r="BX50" s="84"/>
      <c r="BY50" s="84"/>
      <c r="BZ50" s="84"/>
      <c r="CA50" s="84"/>
      <c r="CB50" s="84"/>
    </row>
    <row r="51" spans="2:80" ht="18" customHeight="1" x14ac:dyDescent="0.15">
      <c r="BP51" s="84"/>
      <c r="BQ51" s="84"/>
      <c r="BR51" s="84"/>
      <c r="BS51" s="84"/>
      <c r="BT51" s="84"/>
      <c r="BU51" s="84"/>
      <c r="BV51" s="84"/>
      <c r="BW51" s="84"/>
      <c r="BX51" s="84"/>
      <c r="BY51" s="84"/>
      <c r="BZ51" s="84"/>
      <c r="CA51" s="84"/>
      <c r="CB51" s="84"/>
    </row>
    <row r="52" spans="2:80" ht="18" customHeight="1" x14ac:dyDescent="0.15">
      <c r="BP52" s="84"/>
      <c r="BQ52" s="84"/>
      <c r="BR52" s="84"/>
      <c r="BS52" s="84"/>
      <c r="BT52" s="84"/>
      <c r="BU52" s="84"/>
      <c r="BV52" s="84"/>
      <c r="BW52" s="84"/>
      <c r="BX52" s="84"/>
      <c r="BY52" s="84"/>
      <c r="BZ52" s="84"/>
      <c r="CA52" s="84"/>
      <c r="CB52" s="84"/>
    </row>
    <row r="53" spans="2:80" ht="18" customHeight="1" x14ac:dyDescent="0.15">
      <c r="BP53" s="84"/>
      <c r="BQ53" s="84"/>
      <c r="BR53" s="84"/>
      <c r="BS53" s="84"/>
      <c r="BT53" s="84"/>
      <c r="BU53" s="84"/>
      <c r="BV53" s="84"/>
      <c r="BW53" s="84"/>
      <c r="BX53" s="84"/>
      <c r="BY53" s="84"/>
      <c r="BZ53" s="84"/>
      <c r="CA53" s="84"/>
      <c r="CB53" s="84"/>
    </row>
    <row r="54" spans="2:80" ht="18" customHeight="1" x14ac:dyDescent="0.15">
      <c r="BP54" s="84"/>
      <c r="BQ54" s="84"/>
      <c r="BR54" s="84"/>
      <c r="BS54" s="84"/>
      <c r="BT54" s="84"/>
      <c r="BU54" s="84"/>
      <c r="BV54" s="84"/>
      <c r="BW54" s="84"/>
      <c r="BX54" s="84"/>
      <c r="BY54" s="84"/>
      <c r="BZ54" s="84"/>
      <c r="CA54" s="84"/>
      <c r="CB54" s="84"/>
    </row>
    <row r="55" spans="2:80" ht="18" customHeight="1" x14ac:dyDescent="0.15">
      <c r="BP55" s="84"/>
      <c r="BQ55" s="84"/>
      <c r="BR55" s="84"/>
      <c r="BS55" s="84"/>
      <c r="BT55" s="84"/>
      <c r="BU55" s="84"/>
      <c r="BV55" s="84"/>
      <c r="BW55" s="84"/>
      <c r="BX55" s="84"/>
      <c r="BY55" s="84"/>
      <c r="BZ55" s="84"/>
      <c r="CA55" s="84"/>
      <c r="CB55" s="84"/>
    </row>
    <row r="56" spans="2:80" ht="20" customHeight="1" x14ac:dyDescent="0.15">
      <c r="B56" s="254"/>
      <c r="C56" s="254"/>
      <c r="BP56" s="84"/>
      <c r="BQ56" s="84"/>
      <c r="BR56" s="84"/>
      <c r="BS56" s="84"/>
      <c r="BT56" s="84"/>
      <c r="BU56" s="84"/>
      <c r="BV56" s="84"/>
      <c r="BW56" s="84"/>
      <c r="BX56" s="84"/>
      <c r="BY56" s="84"/>
      <c r="BZ56" s="84"/>
      <c r="CA56" s="84"/>
      <c r="CB56" s="84"/>
    </row>
    <row r="57" spans="2:80" ht="18" customHeight="1" x14ac:dyDescent="0.15">
      <c r="BP57" s="84"/>
      <c r="BQ57" s="84"/>
      <c r="BR57" s="84"/>
      <c r="BS57" s="84"/>
      <c r="BT57" s="84"/>
      <c r="BU57" s="84"/>
      <c r="BV57" s="84"/>
      <c r="BW57" s="84"/>
      <c r="BX57" s="84"/>
      <c r="BY57" s="84"/>
      <c r="BZ57" s="84"/>
      <c r="CA57" s="84"/>
      <c r="CB57" s="84"/>
    </row>
    <row r="58" spans="2:80" ht="18" customHeight="1" x14ac:dyDescent="0.15">
      <c r="BP58" s="84"/>
      <c r="BQ58" s="84"/>
      <c r="BR58" s="84"/>
      <c r="BS58" s="84"/>
      <c r="BT58" s="84"/>
      <c r="BU58" s="84"/>
      <c r="BV58" s="84"/>
      <c r="BW58" s="84"/>
      <c r="BX58" s="84"/>
      <c r="BY58" s="84"/>
      <c r="BZ58" s="84"/>
      <c r="CA58" s="84"/>
      <c r="CB58" s="84"/>
    </row>
    <row r="59" spans="2:80" ht="18" customHeight="1" x14ac:dyDescent="0.15">
      <c r="BP59" s="84"/>
      <c r="BQ59" s="84"/>
      <c r="BR59" s="84"/>
      <c r="BS59" s="84"/>
      <c r="BT59" s="84"/>
      <c r="BU59" s="84"/>
      <c r="BV59" s="84"/>
      <c r="BW59" s="84"/>
      <c r="BX59" s="84"/>
      <c r="BY59" s="84"/>
      <c r="BZ59" s="84"/>
      <c r="CA59" s="84"/>
      <c r="CB59" s="84"/>
    </row>
    <row r="60" spans="2:80" ht="18" customHeight="1" x14ac:dyDescent="0.15">
      <c r="BP60" s="84"/>
      <c r="BQ60" s="84"/>
      <c r="BR60" s="84"/>
      <c r="BS60" s="84"/>
      <c r="BT60" s="84"/>
      <c r="BU60" s="84"/>
      <c r="BV60" s="84"/>
      <c r="BW60" s="84"/>
      <c r="BX60" s="84"/>
      <c r="BY60" s="84"/>
      <c r="BZ60" s="84"/>
      <c r="CA60" s="84"/>
      <c r="CB60" s="84"/>
    </row>
    <row r="61" spans="2:80" ht="18" customHeight="1" x14ac:dyDescent="0.15">
      <c r="BP61" s="84"/>
      <c r="BQ61" s="84"/>
      <c r="BR61" s="84"/>
      <c r="BS61" s="84"/>
      <c r="BT61" s="84"/>
      <c r="BU61" s="84"/>
      <c r="BV61" s="84"/>
      <c r="BW61" s="84"/>
      <c r="BX61" s="84"/>
      <c r="BY61" s="84"/>
      <c r="BZ61" s="84"/>
      <c r="CA61" s="84"/>
      <c r="CB61" s="84"/>
    </row>
    <row r="62" spans="2:80" ht="18" customHeight="1" x14ac:dyDescent="0.15">
      <c r="BP62" s="84"/>
      <c r="BQ62" s="84"/>
      <c r="BR62" s="84"/>
      <c r="BS62" s="84"/>
      <c r="BT62" s="84"/>
      <c r="BU62" s="84"/>
      <c r="BV62" s="84"/>
      <c r="BW62" s="84"/>
      <c r="BX62" s="84"/>
      <c r="BY62" s="84"/>
      <c r="BZ62" s="84"/>
      <c r="CA62" s="84"/>
      <c r="CB62" s="84"/>
    </row>
    <row r="63" spans="2:80" ht="18" customHeight="1" x14ac:dyDescent="0.15">
      <c r="BP63" s="84"/>
      <c r="BQ63" s="84"/>
      <c r="BR63" s="84"/>
      <c r="BS63" s="84"/>
      <c r="BT63" s="84"/>
      <c r="BU63" s="84"/>
      <c r="BV63" s="84"/>
      <c r="BW63" s="84"/>
      <c r="BX63" s="84"/>
      <c r="BY63" s="84"/>
      <c r="BZ63" s="84"/>
      <c r="CA63" s="84"/>
      <c r="CB63" s="84"/>
    </row>
    <row r="64" spans="2:80" ht="18" customHeight="1" x14ac:dyDescent="0.15">
      <c r="BP64" s="84"/>
      <c r="BQ64" s="84"/>
      <c r="BR64" s="84"/>
      <c r="BS64" s="84"/>
      <c r="BT64" s="84"/>
      <c r="BU64" s="84"/>
      <c r="BV64" s="84"/>
      <c r="BW64" s="84"/>
      <c r="BX64" s="84"/>
      <c r="BY64" s="84"/>
      <c r="BZ64" s="84"/>
      <c r="CA64" s="84"/>
      <c r="CB64" s="84"/>
    </row>
    <row r="65" spans="68:80" ht="18" customHeight="1" x14ac:dyDescent="0.15">
      <c r="BP65" s="84"/>
      <c r="BQ65" s="84"/>
      <c r="BR65" s="84"/>
      <c r="BS65" s="84"/>
      <c r="BT65" s="84"/>
      <c r="BU65" s="84"/>
      <c r="BV65" s="84"/>
      <c r="BW65" s="84"/>
      <c r="BX65" s="84"/>
      <c r="BY65" s="84"/>
      <c r="BZ65" s="84"/>
      <c r="CA65" s="84"/>
      <c r="CB65" s="84"/>
    </row>
    <row r="66" spans="68:80" ht="18" customHeight="1" x14ac:dyDescent="0.15">
      <c r="BP66" s="84"/>
      <c r="BQ66" s="84"/>
      <c r="BR66" s="84"/>
      <c r="BS66" s="84"/>
      <c r="BT66" s="84"/>
      <c r="BU66" s="84"/>
      <c r="BV66" s="84"/>
      <c r="BW66" s="84"/>
      <c r="BX66" s="84"/>
      <c r="BY66" s="84"/>
      <c r="BZ66" s="84"/>
      <c r="CA66" s="84"/>
      <c r="CB66" s="84"/>
    </row>
    <row r="67" spans="68:80" ht="18" customHeight="1" x14ac:dyDescent="0.15">
      <c r="BP67" s="84"/>
      <c r="BQ67" s="84"/>
      <c r="BR67" s="84"/>
      <c r="BS67" s="84"/>
      <c r="BT67" s="84"/>
      <c r="BU67" s="84"/>
      <c r="BV67" s="84"/>
      <c r="BW67" s="84"/>
      <c r="BX67" s="84"/>
      <c r="BY67" s="84"/>
      <c r="BZ67" s="84"/>
      <c r="CA67" s="84"/>
      <c r="CB67" s="84"/>
    </row>
    <row r="68" spans="68:80" ht="18" customHeight="1" x14ac:dyDescent="0.15">
      <c r="BP68" s="84"/>
      <c r="BQ68" s="84"/>
      <c r="BR68" s="84"/>
      <c r="BS68" s="84"/>
      <c r="BT68" s="84"/>
      <c r="BU68" s="84"/>
      <c r="BV68" s="84"/>
      <c r="BW68" s="84"/>
      <c r="BX68" s="84"/>
      <c r="BY68" s="84"/>
      <c r="BZ68" s="84"/>
      <c r="CA68" s="84"/>
      <c r="CB68" s="84"/>
    </row>
    <row r="69" spans="68:80" ht="20" customHeight="1" x14ac:dyDescent="0.15">
      <c r="BP69" s="84"/>
      <c r="BQ69" s="84"/>
      <c r="BR69" s="84"/>
      <c r="BS69" s="84"/>
      <c r="BT69" s="84"/>
      <c r="BU69" s="84"/>
      <c r="BV69" s="84"/>
      <c r="BW69" s="84"/>
      <c r="BX69" s="84"/>
      <c r="BY69" s="84"/>
      <c r="BZ69" s="84"/>
      <c r="CA69" s="84"/>
      <c r="CB69" s="84"/>
    </row>
    <row r="70" spans="68:80" ht="18" customHeight="1" x14ac:dyDescent="0.15">
      <c r="BP70" s="84"/>
      <c r="BQ70" s="84"/>
      <c r="BR70" s="84"/>
      <c r="BS70" s="84"/>
      <c r="BT70" s="84"/>
      <c r="BU70" s="84"/>
      <c r="BV70" s="84"/>
      <c r="BW70" s="84"/>
      <c r="BX70" s="84"/>
      <c r="BY70" s="84"/>
      <c r="BZ70" s="84"/>
      <c r="CA70" s="84"/>
      <c r="CB70" s="84"/>
    </row>
    <row r="71" spans="68:80" ht="18" customHeight="1" x14ac:dyDescent="0.15">
      <c r="BP71" s="84"/>
      <c r="BQ71" s="84"/>
      <c r="BR71" s="84"/>
      <c r="BS71" s="84"/>
      <c r="BT71" s="84"/>
      <c r="BU71" s="84"/>
      <c r="BV71" s="84"/>
      <c r="BW71" s="84"/>
      <c r="BX71" s="84"/>
      <c r="BY71" s="84"/>
      <c r="BZ71" s="84"/>
      <c r="CA71" s="84"/>
      <c r="CB71" s="84"/>
    </row>
    <row r="72" spans="68:80" ht="18" customHeight="1" x14ac:dyDescent="0.15"/>
    <row r="73" spans="68:80" ht="18" customHeight="1" x14ac:dyDescent="0.15"/>
    <row r="74" spans="68:80" ht="18" customHeight="1" x14ac:dyDescent="0.15"/>
    <row r="75" spans="68:80" ht="18" customHeight="1" x14ac:dyDescent="0.15"/>
    <row r="76" spans="68:80" ht="18" customHeight="1" x14ac:dyDescent="0.15"/>
    <row r="77" spans="68:80" ht="18" customHeight="1" x14ac:dyDescent="0.15"/>
    <row r="78" spans="68:80" ht="18" customHeight="1" x14ac:dyDescent="0.15"/>
    <row r="79" spans="68:80" ht="18" customHeight="1" x14ac:dyDescent="0.15"/>
    <row r="80" spans="68: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  <row r="549" ht="18" customHeight="1" x14ac:dyDescent="0.15"/>
    <row r="550" ht="18" customHeight="1" x14ac:dyDescent="0.15"/>
    <row r="551" ht="18" customHeight="1" x14ac:dyDescent="0.15"/>
    <row r="552" ht="18" customHeight="1" x14ac:dyDescent="0.15"/>
    <row r="553" ht="18" customHeight="1" x14ac:dyDescent="0.15"/>
    <row r="554" ht="18" customHeight="1" x14ac:dyDescent="0.15"/>
    <row r="555" ht="18" customHeight="1" x14ac:dyDescent="0.15"/>
    <row r="556" ht="18" customHeight="1" x14ac:dyDescent="0.15"/>
    <row r="557" ht="18" customHeight="1" x14ac:dyDescent="0.15"/>
    <row r="558" ht="18" customHeight="1" x14ac:dyDescent="0.15"/>
    <row r="559" ht="18" customHeight="1" x14ac:dyDescent="0.15"/>
    <row r="560" ht="18" customHeight="1" x14ac:dyDescent="0.15"/>
    <row r="561" ht="18" customHeight="1" x14ac:dyDescent="0.15"/>
    <row r="562" ht="18" customHeight="1" x14ac:dyDescent="0.15"/>
    <row r="563" ht="18" customHeight="1" x14ac:dyDescent="0.15"/>
    <row r="564" ht="18" customHeight="1" x14ac:dyDescent="0.15"/>
    <row r="565" ht="18" customHeight="1" x14ac:dyDescent="0.15"/>
    <row r="566" ht="18" customHeight="1" x14ac:dyDescent="0.15"/>
    <row r="567" ht="18" customHeight="1" x14ac:dyDescent="0.15"/>
    <row r="568" ht="18" customHeight="1" x14ac:dyDescent="0.15"/>
    <row r="569" ht="18" customHeight="1" x14ac:dyDescent="0.15"/>
    <row r="570" ht="18" customHeight="1" x14ac:dyDescent="0.15"/>
    <row r="571" ht="18" customHeight="1" x14ac:dyDescent="0.15"/>
    <row r="572" ht="18" customHeight="1" x14ac:dyDescent="0.15"/>
    <row r="573" ht="18" customHeight="1" x14ac:dyDescent="0.15"/>
    <row r="574" ht="18" customHeight="1" x14ac:dyDescent="0.15"/>
    <row r="575" ht="18" customHeight="1" x14ac:dyDescent="0.15"/>
    <row r="576" ht="18" customHeight="1" x14ac:dyDescent="0.15"/>
    <row r="577" ht="18" customHeight="1" x14ac:dyDescent="0.15"/>
    <row r="578" ht="18" customHeight="1" x14ac:dyDescent="0.15"/>
    <row r="579" ht="18" customHeight="1" x14ac:dyDescent="0.15"/>
    <row r="580" ht="18" customHeight="1" x14ac:dyDescent="0.15"/>
    <row r="581" ht="18" customHeight="1" x14ac:dyDescent="0.15"/>
    <row r="582" ht="18" customHeight="1" x14ac:dyDescent="0.15"/>
    <row r="583" ht="18" customHeight="1" x14ac:dyDescent="0.15"/>
    <row r="584" ht="18" customHeight="1" x14ac:dyDescent="0.15"/>
    <row r="585" ht="18" customHeight="1" x14ac:dyDescent="0.15"/>
    <row r="586" ht="18" customHeight="1" x14ac:dyDescent="0.15"/>
    <row r="587" ht="18" customHeight="1" x14ac:dyDescent="0.15"/>
    <row r="588" ht="18" customHeight="1" x14ac:dyDescent="0.15"/>
    <row r="589" ht="18" customHeight="1" x14ac:dyDescent="0.15"/>
    <row r="590" ht="18" customHeight="1" x14ac:dyDescent="0.15"/>
    <row r="591" ht="18" customHeight="1" x14ac:dyDescent="0.15"/>
    <row r="592" ht="18" customHeight="1" x14ac:dyDescent="0.15"/>
    <row r="593" ht="18" customHeight="1" x14ac:dyDescent="0.15"/>
    <row r="594" ht="18" customHeight="1" x14ac:dyDescent="0.15"/>
    <row r="595" ht="18" customHeight="1" x14ac:dyDescent="0.15"/>
    <row r="596" ht="18" customHeight="1" x14ac:dyDescent="0.15"/>
    <row r="597" ht="18" customHeight="1" x14ac:dyDescent="0.15"/>
    <row r="598" ht="18" customHeight="1" x14ac:dyDescent="0.15"/>
    <row r="599" ht="18" customHeight="1" x14ac:dyDescent="0.15"/>
    <row r="600" ht="18" customHeight="1" x14ac:dyDescent="0.15"/>
    <row r="601" ht="18" customHeight="1" x14ac:dyDescent="0.15"/>
    <row r="602" ht="18" customHeight="1" x14ac:dyDescent="0.15"/>
    <row r="603" ht="18" customHeight="1" x14ac:dyDescent="0.15"/>
    <row r="604" ht="18" customHeight="1" x14ac:dyDescent="0.15"/>
    <row r="605" ht="18" customHeight="1" x14ac:dyDescent="0.15"/>
    <row r="606" ht="18" customHeight="1" x14ac:dyDescent="0.15"/>
    <row r="607" ht="18" customHeight="1" x14ac:dyDescent="0.15"/>
    <row r="608" ht="18" customHeight="1" x14ac:dyDescent="0.15"/>
    <row r="609" ht="18" customHeight="1" x14ac:dyDescent="0.15"/>
    <row r="610" ht="18" customHeight="1" x14ac:dyDescent="0.15"/>
    <row r="611" ht="18" customHeight="1" x14ac:dyDescent="0.15"/>
    <row r="612" ht="18" customHeight="1" x14ac:dyDescent="0.15"/>
    <row r="613" ht="18" customHeight="1" x14ac:dyDescent="0.15"/>
    <row r="614" ht="18" customHeight="1" x14ac:dyDescent="0.15"/>
    <row r="615" ht="18" customHeight="1" x14ac:dyDescent="0.15"/>
    <row r="616" ht="18" customHeight="1" x14ac:dyDescent="0.15"/>
    <row r="617" ht="18" customHeight="1" x14ac:dyDescent="0.15"/>
    <row r="618" ht="18" customHeight="1" x14ac:dyDescent="0.15"/>
    <row r="619" ht="18" customHeight="1" x14ac:dyDescent="0.15"/>
    <row r="620" ht="18" customHeight="1" x14ac:dyDescent="0.15"/>
    <row r="621" ht="18" customHeight="1" x14ac:dyDescent="0.15"/>
    <row r="622" ht="18" customHeight="1" x14ac:dyDescent="0.15"/>
    <row r="623" ht="18" customHeight="1" x14ac:dyDescent="0.15"/>
    <row r="624" ht="18" customHeight="1" x14ac:dyDescent="0.15"/>
    <row r="625" ht="18" customHeight="1" x14ac:dyDescent="0.15"/>
    <row r="626" ht="18" customHeight="1" x14ac:dyDescent="0.15"/>
    <row r="627" ht="18" customHeight="1" x14ac:dyDescent="0.15"/>
    <row r="628" ht="18" customHeight="1" x14ac:dyDescent="0.15"/>
    <row r="629" ht="18" customHeight="1" x14ac:dyDescent="0.15"/>
    <row r="630" ht="18" customHeight="1" x14ac:dyDescent="0.15"/>
    <row r="631" ht="18" customHeight="1" x14ac:dyDescent="0.15"/>
    <row r="632" ht="18" customHeight="1" x14ac:dyDescent="0.15"/>
    <row r="633" ht="18" customHeight="1" x14ac:dyDescent="0.15"/>
    <row r="634" ht="18" customHeight="1" x14ac:dyDescent="0.15"/>
    <row r="635" ht="18" customHeight="1" x14ac:dyDescent="0.15"/>
    <row r="636" ht="18" customHeight="1" x14ac:dyDescent="0.15"/>
    <row r="637" ht="18" customHeight="1" x14ac:dyDescent="0.15"/>
    <row r="638" ht="18" customHeight="1" x14ac:dyDescent="0.15"/>
    <row r="639" ht="18" customHeight="1" x14ac:dyDescent="0.15"/>
    <row r="640" ht="18" customHeight="1" x14ac:dyDescent="0.15"/>
    <row r="641" ht="18" customHeight="1" x14ac:dyDescent="0.15"/>
    <row r="642" ht="18" customHeight="1" x14ac:dyDescent="0.15"/>
    <row r="643" ht="18" customHeight="1" x14ac:dyDescent="0.15"/>
    <row r="644" ht="18" customHeight="1" x14ac:dyDescent="0.15"/>
    <row r="645" ht="18" customHeight="1" x14ac:dyDescent="0.15"/>
    <row r="646" ht="18" customHeight="1" x14ac:dyDescent="0.15"/>
    <row r="647" ht="18" customHeight="1" x14ac:dyDescent="0.15"/>
    <row r="648" ht="18" customHeight="1" x14ac:dyDescent="0.15"/>
    <row r="649" ht="18" customHeight="1" x14ac:dyDescent="0.15"/>
    <row r="650" ht="18" customHeight="1" x14ac:dyDescent="0.15"/>
    <row r="651" ht="18" customHeight="1" x14ac:dyDescent="0.15"/>
    <row r="652" ht="18" customHeight="1" x14ac:dyDescent="0.15"/>
    <row r="653" ht="18" customHeight="1" x14ac:dyDescent="0.15"/>
    <row r="654" ht="18" customHeight="1" x14ac:dyDescent="0.15"/>
    <row r="655" ht="18" customHeight="1" x14ac:dyDescent="0.15"/>
    <row r="656" ht="18" customHeight="1" x14ac:dyDescent="0.15"/>
    <row r="657" ht="18" customHeight="1" x14ac:dyDescent="0.15"/>
    <row r="658" ht="18" customHeight="1" x14ac:dyDescent="0.15"/>
    <row r="659" ht="18" customHeight="1" x14ac:dyDescent="0.15"/>
    <row r="660" ht="18" customHeight="1" x14ac:dyDescent="0.15"/>
    <row r="661" ht="18" customHeight="1" x14ac:dyDescent="0.15"/>
    <row r="662" ht="18" customHeight="1" x14ac:dyDescent="0.15"/>
    <row r="663" ht="18" customHeight="1" x14ac:dyDescent="0.15"/>
    <row r="664" ht="18" customHeight="1" x14ac:dyDescent="0.15"/>
    <row r="665" ht="18" customHeight="1" x14ac:dyDescent="0.15"/>
    <row r="666" ht="18" customHeight="1" x14ac:dyDescent="0.15"/>
    <row r="667" ht="18" customHeight="1" x14ac:dyDescent="0.15"/>
    <row r="668" ht="18" customHeight="1" x14ac:dyDescent="0.15"/>
    <row r="669" ht="18" customHeight="1" x14ac:dyDescent="0.15"/>
    <row r="670" ht="18" customHeight="1" x14ac:dyDescent="0.15"/>
    <row r="671" ht="18" customHeight="1" x14ac:dyDescent="0.15"/>
    <row r="672" ht="18" customHeight="1" x14ac:dyDescent="0.15"/>
    <row r="673" ht="18" customHeight="1" x14ac:dyDescent="0.15"/>
    <row r="674" ht="18" customHeight="1" x14ac:dyDescent="0.15"/>
    <row r="675" ht="18" customHeight="1" x14ac:dyDescent="0.15"/>
    <row r="676" ht="18" customHeight="1" x14ac:dyDescent="0.15"/>
    <row r="677" ht="18" customHeight="1" x14ac:dyDescent="0.15"/>
    <row r="678" ht="18" customHeight="1" x14ac:dyDescent="0.15"/>
    <row r="679" ht="18" customHeight="1" x14ac:dyDescent="0.15"/>
    <row r="680" ht="18" customHeight="1" x14ac:dyDescent="0.15"/>
    <row r="681" ht="18" customHeight="1" x14ac:dyDescent="0.15"/>
    <row r="682" ht="18" customHeight="1" x14ac:dyDescent="0.15"/>
    <row r="683" ht="18" customHeight="1" x14ac:dyDescent="0.15"/>
    <row r="684" ht="18" customHeight="1" x14ac:dyDescent="0.15"/>
    <row r="685" ht="18" customHeight="1" x14ac:dyDescent="0.15"/>
    <row r="686" ht="18" customHeight="1" x14ac:dyDescent="0.15"/>
    <row r="687" ht="18" customHeight="1" x14ac:dyDescent="0.15"/>
    <row r="688" ht="18" customHeight="1" x14ac:dyDescent="0.15"/>
    <row r="689" ht="18" customHeight="1" x14ac:dyDescent="0.15"/>
    <row r="690" ht="18" customHeight="1" x14ac:dyDescent="0.15"/>
    <row r="691" ht="18" customHeight="1" x14ac:dyDescent="0.15"/>
    <row r="692" ht="18" customHeight="1" x14ac:dyDescent="0.15"/>
    <row r="693" ht="18" customHeight="1" x14ac:dyDescent="0.15"/>
    <row r="694" ht="18" customHeight="1" x14ac:dyDescent="0.15"/>
    <row r="695" ht="18" customHeight="1" x14ac:dyDescent="0.15"/>
    <row r="696" ht="18" customHeight="1" x14ac:dyDescent="0.15"/>
    <row r="697" ht="18" customHeight="1" x14ac:dyDescent="0.15"/>
    <row r="698" ht="18" customHeight="1" x14ac:dyDescent="0.15"/>
    <row r="699" ht="18" customHeight="1" x14ac:dyDescent="0.15"/>
    <row r="700" ht="18" customHeight="1" x14ac:dyDescent="0.15"/>
    <row r="701" ht="18" customHeight="1" x14ac:dyDescent="0.15"/>
    <row r="702" ht="18" customHeight="1" x14ac:dyDescent="0.15"/>
    <row r="703" ht="18" customHeight="1" x14ac:dyDescent="0.15"/>
    <row r="704" ht="18" customHeight="1" x14ac:dyDescent="0.15"/>
    <row r="705" ht="18" customHeight="1" x14ac:dyDescent="0.15"/>
    <row r="706" ht="18" customHeight="1" x14ac:dyDescent="0.15"/>
    <row r="707" ht="18" customHeight="1" x14ac:dyDescent="0.15"/>
    <row r="708" ht="18" customHeight="1" x14ac:dyDescent="0.15"/>
    <row r="709" ht="18" customHeight="1" x14ac:dyDescent="0.15"/>
    <row r="710" ht="18" customHeight="1" x14ac:dyDescent="0.15"/>
    <row r="711" ht="18" customHeight="1" x14ac:dyDescent="0.15"/>
    <row r="712" ht="18" customHeight="1" x14ac:dyDescent="0.15"/>
    <row r="713" ht="18" customHeight="1" x14ac:dyDescent="0.15"/>
    <row r="714" ht="18" customHeight="1" x14ac:dyDescent="0.15"/>
    <row r="715" ht="18" customHeight="1" x14ac:dyDescent="0.15"/>
    <row r="716" ht="18" customHeight="1" x14ac:dyDescent="0.15"/>
    <row r="717" ht="18" customHeight="1" x14ac:dyDescent="0.15"/>
    <row r="718" ht="18" customHeight="1" x14ac:dyDescent="0.15"/>
    <row r="719" ht="18" customHeight="1" x14ac:dyDescent="0.15"/>
    <row r="720" ht="18" customHeight="1" x14ac:dyDescent="0.15"/>
    <row r="721" ht="18" customHeight="1" x14ac:dyDescent="0.15"/>
    <row r="722" ht="18" customHeight="1" x14ac:dyDescent="0.15"/>
    <row r="723" ht="18" customHeight="1" x14ac:dyDescent="0.15"/>
    <row r="724" ht="18" customHeight="1" x14ac:dyDescent="0.15"/>
    <row r="725" ht="18" customHeight="1" x14ac:dyDescent="0.15"/>
    <row r="726" ht="18" customHeight="1" x14ac:dyDescent="0.15"/>
    <row r="727" ht="18" customHeight="1" x14ac:dyDescent="0.15"/>
    <row r="728" ht="18" customHeight="1" x14ac:dyDescent="0.15"/>
    <row r="729" ht="18" customHeight="1" x14ac:dyDescent="0.15"/>
    <row r="730" ht="18" customHeight="1" x14ac:dyDescent="0.15"/>
    <row r="731" ht="18" customHeight="1" x14ac:dyDescent="0.15"/>
    <row r="732" ht="18" customHeight="1" x14ac:dyDescent="0.15"/>
    <row r="733" ht="18" customHeight="1" x14ac:dyDescent="0.15"/>
    <row r="734" ht="18" customHeight="1" x14ac:dyDescent="0.15"/>
    <row r="735" ht="18" customHeight="1" x14ac:dyDescent="0.15"/>
    <row r="736" ht="18" customHeight="1" x14ac:dyDescent="0.15"/>
    <row r="737" ht="18" customHeight="1" x14ac:dyDescent="0.15"/>
    <row r="738" ht="18" customHeight="1" x14ac:dyDescent="0.15"/>
    <row r="739" ht="18" customHeight="1" x14ac:dyDescent="0.15"/>
    <row r="740" ht="18" customHeight="1" x14ac:dyDescent="0.15"/>
    <row r="741" ht="18" customHeight="1" x14ac:dyDescent="0.15"/>
    <row r="742" ht="18" customHeight="1" x14ac:dyDescent="0.15"/>
    <row r="743" ht="18" customHeight="1" x14ac:dyDescent="0.15"/>
    <row r="744" ht="18" customHeight="1" x14ac:dyDescent="0.15"/>
    <row r="745" ht="18" customHeight="1" x14ac:dyDescent="0.15"/>
    <row r="746" ht="18" customHeight="1" x14ac:dyDescent="0.15"/>
    <row r="747" ht="18" customHeight="1" x14ac:dyDescent="0.15"/>
    <row r="748" ht="18" customHeight="1" x14ac:dyDescent="0.15"/>
    <row r="749" ht="18" customHeight="1" x14ac:dyDescent="0.15"/>
    <row r="750" ht="18" customHeight="1" x14ac:dyDescent="0.15"/>
    <row r="751" ht="18" customHeight="1" x14ac:dyDescent="0.15"/>
    <row r="752" ht="18" customHeight="1" x14ac:dyDescent="0.15"/>
    <row r="753" ht="18" customHeight="1" x14ac:dyDescent="0.15"/>
    <row r="754" ht="18" customHeight="1" x14ac:dyDescent="0.15"/>
    <row r="755" ht="18" customHeight="1" x14ac:dyDescent="0.15"/>
    <row r="756" ht="18" customHeight="1" x14ac:dyDescent="0.15"/>
    <row r="757" ht="18" customHeight="1" x14ac:dyDescent="0.15"/>
    <row r="758" ht="18" customHeight="1" x14ac:dyDescent="0.15"/>
    <row r="759" ht="18" customHeight="1" x14ac:dyDescent="0.15"/>
    <row r="760" ht="18" customHeight="1" x14ac:dyDescent="0.15"/>
    <row r="761" ht="18" customHeight="1" x14ac:dyDescent="0.15"/>
    <row r="762" ht="18" customHeight="1" x14ac:dyDescent="0.15"/>
    <row r="763" ht="18" customHeight="1" x14ac:dyDescent="0.15"/>
    <row r="764" ht="18" customHeight="1" x14ac:dyDescent="0.15"/>
    <row r="765" ht="18" customHeight="1" x14ac:dyDescent="0.15"/>
    <row r="766" ht="18" customHeight="1" x14ac:dyDescent="0.15"/>
    <row r="767" ht="18" customHeight="1" x14ac:dyDescent="0.15"/>
    <row r="768" ht="18" customHeight="1" x14ac:dyDescent="0.15"/>
    <row r="769" ht="18" customHeight="1" x14ac:dyDescent="0.15"/>
    <row r="770" ht="18" customHeight="1" x14ac:dyDescent="0.15"/>
    <row r="771" ht="18" customHeight="1" x14ac:dyDescent="0.15"/>
    <row r="772" ht="18" customHeight="1" x14ac:dyDescent="0.15"/>
    <row r="773" ht="18" customHeight="1" x14ac:dyDescent="0.15"/>
    <row r="774" ht="18" customHeight="1" x14ac:dyDescent="0.15"/>
    <row r="775" ht="18" customHeight="1" x14ac:dyDescent="0.15"/>
    <row r="776" ht="18" customHeight="1" x14ac:dyDescent="0.15"/>
    <row r="777" ht="18" customHeight="1" x14ac:dyDescent="0.15"/>
    <row r="778" ht="18" customHeight="1" x14ac:dyDescent="0.15"/>
    <row r="779" ht="18" customHeight="1" x14ac:dyDescent="0.15"/>
    <row r="780" ht="18" customHeight="1" x14ac:dyDescent="0.15"/>
    <row r="781" ht="18" customHeight="1" x14ac:dyDescent="0.15"/>
    <row r="782" ht="18" customHeight="1" x14ac:dyDescent="0.15"/>
    <row r="783" ht="18" customHeight="1" x14ac:dyDescent="0.15"/>
    <row r="784" ht="18" customHeight="1" x14ac:dyDescent="0.15"/>
    <row r="785" ht="18" customHeight="1" x14ac:dyDescent="0.15"/>
    <row r="786" ht="18" customHeight="1" x14ac:dyDescent="0.15"/>
    <row r="787" ht="18" customHeight="1" x14ac:dyDescent="0.15"/>
    <row r="788" ht="18" customHeight="1" x14ac:dyDescent="0.15"/>
    <row r="789" ht="18" customHeight="1" x14ac:dyDescent="0.15"/>
    <row r="790" ht="18" customHeight="1" x14ac:dyDescent="0.15"/>
    <row r="791" ht="18" customHeight="1" x14ac:dyDescent="0.15"/>
    <row r="792" ht="18" customHeight="1" x14ac:dyDescent="0.15"/>
    <row r="793" ht="18" customHeight="1" x14ac:dyDescent="0.15"/>
    <row r="794" ht="18" customHeight="1" x14ac:dyDescent="0.15"/>
    <row r="795" ht="18" customHeight="1" x14ac:dyDescent="0.15"/>
    <row r="796" ht="18" customHeight="1" x14ac:dyDescent="0.15"/>
    <row r="797" ht="18" customHeight="1" x14ac:dyDescent="0.15"/>
    <row r="798" ht="18" customHeight="1" x14ac:dyDescent="0.15"/>
    <row r="799" ht="18" customHeight="1" x14ac:dyDescent="0.15"/>
    <row r="800" ht="18" customHeight="1" x14ac:dyDescent="0.15"/>
    <row r="801" ht="18" customHeight="1" x14ac:dyDescent="0.15"/>
    <row r="802" ht="18" customHeight="1" x14ac:dyDescent="0.15"/>
    <row r="803" ht="18" customHeight="1" x14ac:dyDescent="0.15"/>
    <row r="804" ht="18" customHeight="1" x14ac:dyDescent="0.15"/>
    <row r="805" ht="18" customHeight="1" x14ac:dyDescent="0.15"/>
    <row r="806" ht="18" customHeight="1" x14ac:dyDescent="0.15"/>
    <row r="807" ht="18" customHeight="1" x14ac:dyDescent="0.15"/>
    <row r="808" ht="18" customHeight="1" x14ac:dyDescent="0.15"/>
    <row r="809" ht="18" customHeight="1" x14ac:dyDescent="0.15"/>
    <row r="810" ht="18" customHeight="1" x14ac:dyDescent="0.15"/>
    <row r="811" ht="18" customHeight="1" x14ac:dyDescent="0.15"/>
    <row r="812" ht="18" customHeight="1" x14ac:dyDescent="0.15"/>
    <row r="813" ht="18" customHeight="1" x14ac:dyDescent="0.15"/>
    <row r="814" ht="18" customHeight="1" x14ac:dyDescent="0.15"/>
    <row r="815" ht="18" customHeight="1" x14ac:dyDescent="0.15"/>
    <row r="816" ht="18" customHeight="1" x14ac:dyDescent="0.15"/>
    <row r="817" ht="18" customHeight="1" x14ac:dyDescent="0.15"/>
    <row r="818" ht="18" customHeight="1" x14ac:dyDescent="0.15"/>
    <row r="819" ht="18" customHeight="1" x14ac:dyDescent="0.15"/>
    <row r="820" ht="18" customHeight="1" x14ac:dyDescent="0.15"/>
    <row r="821" ht="18" customHeight="1" x14ac:dyDescent="0.15"/>
    <row r="822" ht="18" customHeight="1" x14ac:dyDescent="0.15"/>
    <row r="823" ht="18" customHeight="1" x14ac:dyDescent="0.15"/>
    <row r="824" ht="18" customHeight="1" x14ac:dyDescent="0.15"/>
    <row r="825" ht="18" customHeight="1" x14ac:dyDescent="0.15"/>
    <row r="826" ht="18" customHeight="1" x14ac:dyDescent="0.15"/>
    <row r="827" ht="18" customHeight="1" x14ac:dyDescent="0.15"/>
    <row r="828" ht="18" customHeight="1" x14ac:dyDescent="0.15"/>
    <row r="829" ht="18" customHeight="1" x14ac:dyDescent="0.15"/>
    <row r="830" ht="18" customHeight="1" x14ac:dyDescent="0.15"/>
    <row r="831" ht="18" customHeight="1" x14ac:dyDescent="0.15"/>
    <row r="832" ht="18" customHeight="1" x14ac:dyDescent="0.15"/>
    <row r="833" ht="18" customHeight="1" x14ac:dyDescent="0.15"/>
    <row r="834" ht="18" customHeight="1" x14ac:dyDescent="0.15"/>
    <row r="835" ht="18" customHeight="1" x14ac:dyDescent="0.15"/>
    <row r="836" ht="18" customHeight="1" x14ac:dyDescent="0.15"/>
    <row r="837" ht="18" customHeight="1" x14ac:dyDescent="0.15"/>
    <row r="838" ht="18" customHeight="1" x14ac:dyDescent="0.15"/>
    <row r="839" ht="18" customHeight="1" x14ac:dyDescent="0.15"/>
    <row r="840" ht="18" customHeight="1" x14ac:dyDescent="0.15"/>
    <row r="841" ht="18" customHeight="1" x14ac:dyDescent="0.15"/>
    <row r="842" ht="18" customHeight="1" x14ac:dyDescent="0.15"/>
    <row r="843" ht="18" customHeight="1" x14ac:dyDescent="0.15"/>
    <row r="844" ht="18" customHeight="1" x14ac:dyDescent="0.15"/>
    <row r="845" ht="18" customHeight="1" x14ac:dyDescent="0.15"/>
    <row r="846" ht="18" customHeight="1" x14ac:dyDescent="0.15"/>
    <row r="847" ht="18" customHeight="1" x14ac:dyDescent="0.15"/>
    <row r="848" ht="18" customHeight="1" x14ac:dyDescent="0.15"/>
    <row r="849" ht="18" customHeight="1" x14ac:dyDescent="0.15"/>
    <row r="850" ht="18" customHeight="1" x14ac:dyDescent="0.15"/>
    <row r="851" ht="18" customHeight="1" x14ac:dyDescent="0.15"/>
    <row r="852" ht="18" customHeight="1" x14ac:dyDescent="0.15"/>
    <row r="853" ht="18" customHeight="1" x14ac:dyDescent="0.15"/>
    <row r="854" ht="18" customHeight="1" x14ac:dyDescent="0.15"/>
    <row r="855" ht="18" customHeight="1" x14ac:dyDescent="0.15"/>
    <row r="856" ht="18" customHeight="1" x14ac:dyDescent="0.15"/>
    <row r="857" ht="18" customHeight="1" x14ac:dyDescent="0.15"/>
    <row r="858" ht="18" customHeight="1" x14ac:dyDescent="0.15"/>
    <row r="859" ht="18" customHeight="1" x14ac:dyDescent="0.15"/>
    <row r="860" ht="18" customHeight="1" x14ac:dyDescent="0.15"/>
    <row r="861" ht="18" customHeight="1" x14ac:dyDescent="0.15"/>
    <row r="862" ht="18" customHeight="1" x14ac:dyDescent="0.15"/>
    <row r="863" ht="18" customHeight="1" x14ac:dyDescent="0.15"/>
    <row r="864" ht="18" customHeight="1" x14ac:dyDescent="0.15"/>
    <row r="865" ht="18" customHeight="1" x14ac:dyDescent="0.15"/>
    <row r="866" ht="18" customHeight="1" x14ac:dyDescent="0.15"/>
    <row r="867" ht="18" customHeight="1" x14ac:dyDescent="0.15"/>
    <row r="868" ht="18" customHeight="1" x14ac:dyDescent="0.15"/>
    <row r="869" ht="18" customHeight="1" x14ac:dyDescent="0.15"/>
    <row r="870" ht="18" customHeight="1" x14ac:dyDescent="0.15"/>
    <row r="871" ht="18" customHeight="1" x14ac:dyDescent="0.15"/>
    <row r="872" ht="18" customHeight="1" x14ac:dyDescent="0.15"/>
    <row r="873" ht="18" customHeight="1" x14ac:dyDescent="0.15"/>
    <row r="874" ht="18" customHeight="1" x14ac:dyDescent="0.15"/>
    <row r="875" ht="18" customHeight="1" x14ac:dyDescent="0.15"/>
    <row r="876" ht="18" customHeight="1" x14ac:dyDescent="0.15"/>
    <row r="877" ht="18" customHeight="1" x14ac:dyDescent="0.15"/>
    <row r="878" ht="18" customHeight="1" x14ac:dyDescent="0.15"/>
    <row r="879" ht="18" customHeight="1" x14ac:dyDescent="0.15"/>
    <row r="880" ht="18" customHeight="1" x14ac:dyDescent="0.15"/>
    <row r="881" ht="18" customHeight="1" x14ac:dyDescent="0.15"/>
    <row r="882" ht="18" customHeight="1" x14ac:dyDescent="0.15"/>
    <row r="883" ht="18" customHeight="1" x14ac:dyDescent="0.15"/>
    <row r="884" ht="18" customHeight="1" x14ac:dyDescent="0.15"/>
    <row r="885" ht="18" customHeight="1" x14ac:dyDescent="0.15"/>
    <row r="886" ht="18" customHeight="1" x14ac:dyDescent="0.15"/>
    <row r="887" ht="18" customHeight="1" x14ac:dyDescent="0.15"/>
    <row r="888" ht="18" customHeight="1" x14ac:dyDescent="0.15"/>
    <row r="889" ht="18" customHeight="1" x14ac:dyDescent="0.15"/>
    <row r="890" ht="18" customHeight="1" x14ac:dyDescent="0.15"/>
    <row r="891" ht="18" customHeight="1" x14ac:dyDescent="0.15"/>
    <row r="892" ht="18" customHeight="1" x14ac:dyDescent="0.15"/>
    <row r="893" ht="18" customHeight="1" x14ac:dyDescent="0.15"/>
    <row r="894" ht="18" customHeight="1" x14ac:dyDescent="0.15"/>
    <row r="895" ht="18" customHeight="1" x14ac:dyDescent="0.15"/>
    <row r="896" ht="18" customHeight="1" x14ac:dyDescent="0.15"/>
    <row r="897" ht="18" customHeight="1" x14ac:dyDescent="0.15"/>
    <row r="898" ht="18" customHeight="1" x14ac:dyDescent="0.15"/>
    <row r="899" ht="18" customHeight="1" x14ac:dyDescent="0.15"/>
    <row r="900" ht="18" customHeight="1" x14ac:dyDescent="0.15"/>
    <row r="901" ht="18" customHeight="1" x14ac:dyDescent="0.15"/>
    <row r="902" ht="18" customHeight="1" x14ac:dyDescent="0.15"/>
    <row r="903" ht="18" customHeight="1" x14ac:dyDescent="0.15"/>
    <row r="904" ht="18" customHeight="1" x14ac:dyDescent="0.15"/>
    <row r="905" ht="18" customHeight="1" x14ac:dyDescent="0.15"/>
    <row r="906" ht="18" customHeight="1" x14ac:dyDescent="0.15"/>
    <row r="907" ht="18" customHeight="1" x14ac:dyDescent="0.15"/>
    <row r="908" ht="18" customHeight="1" x14ac:dyDescent="0.15"/>
    <row r="909" ht="18" customHeight="1" x14ac:dyDescent="0.15"/>
    <row r="910" ht="18" customHeight="1" x14ac:dyDescent="0.15"/>
    <row r="911" ht="18" customHeight="1" x14ac:dyDescent="0.15"/>
    <row r="912" ht="18" customHeight="1" x14ac:dyDescent="0.15"/>
    <row r="913" ht="18" customHeight="1" x14ac:dyDescent="0.15"/>
    <row r="914" ht="18" customHeight="1" x14ac:dyDescent="0.15"/>
    <row r="915" ht="18" customHeight="1" x14ac:dyDescent="0.15"/>
    <row r="916" ht="18" customHeight="1" x14ac:dyDescent="0.15"/>
    <row r="917" ht="18" customHeight="1" x14ac:dyDescent="0.15"/>
    <row r="918" ht="18" customHeight="1" x14ac:dyDescent="0.15"/>
    <row r="919" ht="18" customHeight="1" x14ac:dyDescent="0.15"/>
    <row r="920" ht="18" customHeight="1" x14ac:dyDescent="0.15"/>
    <row r="921" ht="18" customHeight="1" x14ac:dyDescent="0.15"/>
    <row r="922" ht="18" customHeight="1" x14ac:dyDescent="0.15"/>
    <row r="923" ht="18" customHeight="1" x14ac:dyDescent="0.15"/>
    <row r="924" ht="18" customHeight="1" x14ac:dyDescent="0.15"/>
    <row r="925" ht="18" customHeight="1" x14ac:dyDescent="0.15"/>
    <row r="926" ht="18" customHeight="1" x14ac:dyDescent="0.15"/>
    <row r="927" ht="18" customHeight="1" x14ac:dyDescent="0.15"/>
    <row r="928" ht="18" customHeight="1" x14ac:dyDescent="0.15"/>
    <row r="929" ht="18" customHeight="1" x14ac:dyDescent="0.15"/>
    <row r="930" ht="18" customHeight="1" x14ac:dyDescent="0.15"/>
    <row r="931" ht="18" customHeight="1" x14ac:dyDescent="0.15"/>
    <row r="932" ht="18" customHeight="1" x14ac:dyDescent="0.15"/>
    <row r="933" ht="18" customHeight="1" x14ac:dyDescent="0.15"/>
    <row r="934" ht="18" customHeight="1" x14ac:dyDescent="0.15"/>
    <row r="935" ht="18" customHeight="1" x14ac:dyDescent="0.15"/>
    <row r="936" ht="18" customHeight="1" x14ac:dyDescent="0.15"/>
    <row r="937" ht="18" customHeight="1" x14ac:dyDescent="0.15"/>
    <row r="938" ht="18" customHeight="1" x14ac:dyDescent="0.15"/>
    <row r="939" ht="18" customHeight="1" x14ac:dyDescent="0.15"/>
    <row r="940" ht="18" customHeight="1" x14ac:dyDescent="0.15"/>
    <row r="941" ht="18" customHeight="1" x14ac:dyDescent="0.15"/>
    <row r="942" ht="18" customHeight="1" x14ac:dyDescent="0.15"/>
    <row r="943" ht="18" customHeight="1" x14ac:dyDescent="0.15"/>
    <row r="944" ht="18" customHeight="1" x14ac:dyDescent="0.15"/>
    <row r="945" ht="18" customHeight="1" x14ac:dyDescent="0.15"/>
    <row r="946" ht="18" customHeight="1" x14ac:dyDescent="0.15"/>
    <row r="947" ht="18" customHeight="1" x14ac:dyDescent="0.15"/>
    <row r="948" ht="18" customHeight="1" x14ac:dyDescent="0.15"/>
    <row r="949" ht="18" customHeight="1" x14ac:dyDescent="0.15"/>
    <row r="950" ht="18" customHeight="1" x14ac:dyDescent="0.15"/>
    <row r="951" ht="18" customHeight="1" x14ac:dyDescent="0.15"/>
    <row r="952" ht="18" customHeight="1" x14ac:dyDescent="0.15"/>
    <row r="953" ht="18" customHeight="1" x14ac:dyDescent="0.15"/>
    <row r="954" ht="18" customHeight="1" x14ac:dyDescent="0.15"/>
    <row r="955" ht="18" customHeight="1" x14ac:dyDescent="0.15"/>
    <row r="956" ht="18" customHeight="1" x14ac:dyDescent="0.15"/>
    <row r="957" ht="18" customHeight="1" x14ac:dyDescent="0.15"/>
    <row r="958" ht="18" customHeight="1" x14ac:dyDescent="0.15"/>
    <row r="959" ht="18" customHeight="1" x14ac:dyDescent="0.15"/>
    <row r="960" ht="18" customHeight="1" x14ac:dyDescent="0.15"/>
    <row r="961" ht="18" customHeight="1" x14ac:dyDescent="0.15"/>
    <row r="962" ht="18" customHeight="1" x14ac:dyDescent="0.15"/>
    <row r="963" ht="18" customHeight="1" x14ac:dyDescent="0.15"/>
    <row r="964" ht="18" customHeight="1" x14ac:dyDescent="0.15"/>
    <row r="965" ht="18" customHeight="1" x14ac:dyDescent="0.15"/>
    <row r="966" ht="18" customHeight="1" x14ac:dyDescent="0.15"/>
    <row r="967" ht="18" customHeight="1" x14ac:dyDescent="0.15"/>
    <row r="968" ht="18" customHeight="1" x14ac:dyDescent="0.15"/>
    <row r="969" ht="18" customHeight="1" x14ac:dyDescent="0.15"/>
    <row r="970" ht="18" customHeight="1" x14ac:dyDescent="0.15"/>
    <row r="971" ht="18" customHeight="1" x14ac:dyDescent="0.15"/>
    <row r="972" ht="18" customHeight="1" x14ac:dyDescent="0.15"/>
    <row r="973" ht="18" customHeight="1" x14ac:dyDescent="0.15"/>
    <row r="974" ht="18" customHeight="1" x14ac:dyDescent="0.15"/>
    <row r="975" ht="18" customHeight="1" x14ac:dyDescent="0.15"/>
    <row r="976" ht="18" customHeight="1" x14ac:dyDescent="0.15"/>
    <row r="977" ht="18" customHeight="1" x14ac:dyDescent="0.15"/>
    <row r="978" ht="18" customHeight="1" x14ac:dyDescent="0.15"/>
    <row r="979" ht="18" customHeight="1" x14ac:dyDescent="0.15"/>
    <row r="980" ht="18" customHeight="1" x14ac:dyDescent="0.15"/>
    <row r="981" ht="18" customHeight="1" x14ac:dyDescent="0.15"/>
    <row r="982" ht="18" customHeight="1" x14ac:dyDescent="0.15"/>
    <row r="983" ht="18" customHeight="1" x14ac:dyDescent="0.15"/>
    <row r="984" ht="18" customHeight="1" x14ac:dyDescent="0.15"/>
    <row r="985" ht="18" customHeight="1" x14ac:dyDescent="0.15"/>
    <row r="986" ht="18" customHeight="1" x14ac:dyDescent="0.15"/>
    <row r="987" ht="18" customHeight="1" x14ac:dyDescent="0.15"/>
    <row r="988" ht="18" customHeight="1" x14ac:dyDescent="0.15"/>
    <row r="989" ht="18" customHeight="1" x14ac:dyDescent="0.15"/>
    <row r="990" ht="18" customHeight="1" x14ac:dyDescent="0.15"/>
    <row r="991" ht="18" customHeight="1" x14ac:dyDescent="0.15"/>
    <row r="992" ht="18" customHeight="1" x14ac:dyDescent="0.15"/>
    <row r="993" ht="18" customHeight="1" x14ac:dyDescent="0.15"/>
    <row r="994" ht="18" customHeight="1" x14ac:dyDescent="0.15"/>
    <row r="995" ht="18" customHeight="1" x14ac:dyDescent="0.15"/>
    <row r="996" ht="18" customHeight="1" x14ac:dyDescent="0.15"/>
    <row r="997" ht="18" customHeight="1" x14ac:dyDescent="0.15"/>
    <row r="998" ht="18" customHeight="1" x14ac:dyDescent="0.15"/>
    <row r="999" ht="18" customHeight="1" x14ac:dyDescent="0.15"/>
    <row r="1000" ht="18" customHeight="1" x14ac:dyDescent="0.15"/>
  </sheetData>
  <mergeCells count="6">
    <mergeCell ref="B56:C56"/>
    <mergeCell ref="G3:H3"/>
    <mergeCell ref="A6:I6"/>
    <mergeCell ref="B9:C9"/>
    <mergeCell ref="B15:C15"/>
    <mergeCell ref="B21:C21"/>
  </mergeCells>
  <conditionalFormatting sqref="M10:BB14">
    <cfRule type="expression" dxfId="30" priority="2">
      <formula>AND($H10&gt;=M$5,$G10&lt;N$5)</formula>
    </cfRule>
    <cfRule type="expression" dxfId="29" priority="3" stopIfTrue="1">
      <formula>AND($K10&gt;=M$5,$J10&lt;N$5)</formula>
    </cfRule>
    <cfRule type="expression" dxfId="28" priority="1" stopIfTrue="1">
      <formula>NOT(AND(MAX($K10,$H10)&gt;=M$5,MIN($J10,$G10)&lt;N$5))</formula>
    </cfRule>
  </conditionalFormatting>
  <conditionalFormatting sqref="M16:BB20 M21:BN71">
    <cfRule type="expression" dxfId="27" priority="4">
      <formula>AND(TODAY()&gt;=M$5,TODAY()&lt;N$5)</formula>
    </cfRule>
  </conditionalFormatting>
  <conditionalFormatting sqref="M6:BN9 BO7 BC14:BN14">
    <cfRule type="expression" dxfId="26" priority="5">
      <formula>AND(TODAY()&gt;=M$5,TODAY()&lt;N$5)</formula>
    </cfRule>
  </conditionalFormatting>
  <conditionalFormatting sqref="M8:BN9 BC10:BN12 BC14:BN14 M15:BN15 BC16:BN19 M16:BB47 BC20:CB20 BC21:BN47 M54:BN71">
    <cfRule type="expression" dxfId="25" priority="6">
      <formula>AND($H8&gt;=M$5,$G8&lt;N$5)</formula>
    </cfRule>
    <cfRule type="expression" dxfId="24" priority="7" stopIfTrue="1">
      <formula>AND($K8&gt;=M$5,$J8&lt;N$5)</formula>
    </cfRule>
    <cfRule type="expression" dxfId="23" priority="8" stopIfTrue="1">
      <formula>NOT(AND(MAX($K8,$H8)&gt;=M$5,MIN($J8,$G8)&lt;N$5))</formula>
    </cfRule>
  </conditionalFormatting>
  <conditionalFormatting sqref="M15:BN15">
    <cfRule type="expression" dxfId="22" priority="9">
      <formula>AND(TODAY()&gt;=M$5,TODAY()&lt;N$5)</formula>
    </cfRule>
  </conditionalFormatting>
  <conditionalFormatting sqref="M48:BN53">
    <cfRule type="expression" dxfId="21" priority="10" stopIfTrue="1">
      <formula>NOT(AND(MAX($K48,#REF!)&gt;=M$5,MIN($J48,#REF!)&lt;N$5))</formula>
    </cfRule>
    <cfRule type="expression" dxfId="20" priority="11">
      <formula>AND(#REF!&gt;=M$5,#REF!&lt;N$5)</formula>
    </cfRule>
    <cfRule type="expression" dxfId="19" priority="12" stopIfTrue="1">
      <formula>AND($K48&gt;=M$5,$J48&lt;N$5)</formula>
    </cfRule>
  </conditionalFormatting>
  <conditionalFormatting sqref="BC10:BN12 M10:BB14">
    <cfRule type="expression" dxfId="18" priority="22">
      <formula>AND(TODAY()&gt;=M$5,TODAY()&lt;N$5)</formula>
    </cfRule>
  </conditionalFormatting>
  <conditionalFormatting sqref="BC16:BN19">
    <cfRule type="expression" dxfId="17" priority="23">
      <formula>AND(TODAY()&gt;=BC$5,TODAY()&lt;BD$5)</formula>
    </cfRule>
  </conditionalFormatting>
  <conditionalFormatting sqref="BC13:CB13">
    <cfRule type="expression" dxfId="16" priority="27" stopIfTrue="1">
      <formula>AND($K13&gt;=BC$5,$J13&lt;BD$5)</formula>
    </cfRule>
    <cfRule type="expression" dxfId="15" priority="26">
      <formula>AND($H13&gt;=BC$5,$G13&lt;BD$5)</formula>
    </cfRule>
    <cfRule type="expression" dxfId="14" priority="25" stopIfTrue="1">
      <formula>NOT(AND(MAX($K13,$H13)&gt;=BC$5,MIN($J13,$G13)&lt;BD$5))</formula>
    </cfRule>
    <cfRule type="expression" dxfId="13" priority="24">
      <formula>AND(TODAY()&gt;=BC$5,TODAY()&lt;BD$5)</formula>
    </cfRule>
  </conditionalFormatting>
  <conditionalFormatting sqref="BC20:CB20">
    <cfRule type="expression" dxfId="12" priority="28">
      <formula>AND(TODAY()&gt;=BC$5,TODAY()&lt;BD$5)</formula>
    </cfRule>
  </conditionalFormatting>
  <dataValidations count="1">
    <dataValidation type="list" allowBlank="1" showErrorMessage="1" sqref="G4" xr:uid="{00000000-0002-0000-0400-000000000000}">
      <formula1>"Daily,Weekly,Monthly,Quarterly"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sqref="A1:G1"/>
    </sheetView>
  </sheetViews>
  <sheetFormatPr baseColWidth="10" defaultColWidth="12.6640625" defaultRowHeight="14" x14ac:dyDescent="0.15"/>
  <cols>
    <col min="1" max="1" width="5.5" customWidth="1"/>
    <col min="2" max="2" width="17.6640625" customWidth="1"/>
    <col min="3" max="3" width="13.83203125" customWidth="1"/>
    <col min="4" max="4" width="14.1640625" customWidth="1"/>
    <col min="5" max="5" width="33" customWidth="1"/>
    <col min="6" max="6" width="19.1640625" customWidth="1"/>
    <col min="7" max="7" width="26.83203125" customWidth="1"/>
    <col min="8" max="8" width="19.33203125" customWidth="1"/>
    <col min="9" max="26" width="9" customWidth="1"/>
  </cols>
  <sheetData>
    <row r="1" spans="1:26" ht="21" customHeight="1" x14ac:dyDescent="0.2">
      <c r="A1" s="290" t="s">
        <v>43</v>
      </c>
      <c r="B1" s="254"/>
      <c r="C1" s="254"/>
      <c r="D1" s="254"/>
      <c r="E1" s="254"/>
      <c r="F1" s="254"/>
      <c r="G1" s="25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</row>
    <row r="2" spans="1:26" ht="21" customHeight="1" x14ac:dyDescent="0.2">
      <c r="A2" s="95" t="s">
        <v>44</v>
      </c>
      <c r="B2" s="95" t="s">
        <v>45</v>
      </c>
      <c r="C2" s="95" t="s">
        <v>46</v>
      </c>
      <c r="D2" s="95" t="s">
        <v>47</v>
      </c>
      <c r="E2" s="95" t="s">
        <v>48</v>
      </c>
      <c r="F2" s="95" t="s">
        <v>49</v>
      </c>
      <c r="G2" s="95" t="s">
        <v>50</v>
      </c>
      <c r="H2" s="95" t="s">
        <v>51</v>
      </c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</row>
    <row r="3" spans="1:26" ht="21" customHeight="1" x14ac:dyDescent="0.2">
      <c r="A3" s="291" t="s">
        <v>367</v>
      </c>
      <c r="B3" s="267"/>
      <c r="C3" s="267"/>
      <c r="D3" s="267"/>
      <c r="E3" s="267"/>
      <c r="F3" s="267"/>
      <c r="G3" s="267"/>
      <c r="H3" s="292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</row>
    <row r="4" spans="1:26" ht="21" customHeight="1" x14ac:dyDescent="0.2">
      <c r="A4" s="9">
        <v>1</v>
      </c>
      <c r="B4" s="9" t="s">
        <v>121</v>
      </c>
      <c r="C4" s="9" t="s">
        <v>368</v>
      </c>
      <c r="D4" s="9" t="s">
        <v>369</v>
      </c>
      <c r="E4" s="9" t="s">
        <v>370</v>
      </c>
      <c r="F4" s="96"/>
      <c r="G4" s="97"/>
      <c r="H4" s="9" t="s">
        <v>371</v>
      </c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</row>
    <row r="5" spans="1:26" ht="21" customHeight="1" x14ac:dyDescent="0.2">
      <c r="A5" s="9">
        <v>2</v>
      </c>
      <c r="B5" s="9" t="s">
        <v>372</v>
      </c>
      <c r="C5" s="9" t="s">
        <v>368</v>
      </c>
      <c r="D5" s="9" t="s">
        <v>373</v>
      </c>
      <c r="E5" s="9" t="s">
        <v>374</v>
      </c>
      <c r="F5" s="96"/>
      <c r="G5" s="97"/>
      <c r="H5" s="9" t="s">
        <v>375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</row>
    <row r="6" spans="1:26" ht="21" customHeight="1" x14ac:dyDescent="0.2">
      <c r="A6" s="9">
        <v>3</v>
      </c>
      <c r="B6" s="9" t="s">
        <v>372</v>
      </c>
      <c r="C6" s="9" t="s">
        <v>368</v>
      </c>
      <c r="D6" s="9" t="s">
        <v>376</v>
      </c>
      <c r="E6" s="9" t="s">
        <v>377</v>
      </c>
      <c r="F6" s="96"/>
      <c r="G6" s="9"/>
      <c r="H6" s="9" t="s">
        <v>375</v>
      </c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</row>
    <row r="7" spans="1:26" ht="21" customHeight="1" x14ac:dyDescent="0.2">
      <c r="A7" s="9">
        <v>4</v>
      </c>
      <c r="B7" s="9" t="s">
        <v>372</v>
      </c>
      <c r="C7" s="9" t="s">
        <v>368</v>
      </c>
      <c r="D7" s="9" t="s">
        <v>378</v>
      </c>
      <c r="E7" s="9" t="s">
        <v>379</v>
      </c>
      <c r="F7" s="96"/>
      <c r="G7" s="9"/>
      <c r="H7" s="9" t="s">
        <v>375</v>
      </c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</row>
    <row r="8" spans="1:26" ht="21" customHeight="1" x14ac:dyDescent="0.2">
      <c r="A8" s="9">
        <v>5</v>
      </c>
      <c r="B8" s="9" t="s">
        <v>372</v>
      </c>
      <c r="C8" s="9" t="s">
        <v>368</v>
      </c>
      <c r="D8" s="9" t="s">
        <v>380</v>
      </c>
      <c r="E8" s="9" t="s">
        <v>381</v>
      </c>
      <c r="F8" s="96"/>
      <c r="G8" s="9"/>
      <c r="H8" s="9" t="s">
        <v>375</v>
      </c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</row>
    <row r="9" spans="1:26" ht="21" customHeight="1" x14ac:dyDescent="0.2">
      <c r="A9" s="9">
        <v>6</v>
      </c>
      <c r="B9" s="9" t="s">
        <v>372</v>
      </c>
      <c r="C9" s="9" t="s">
        <v>368</v>
      </c>
      <c r="D9" s="9" t="s">
        <v>362</v>
      </c>
      <c r="E9" s="9" t="s">
        <v>382</v>
      </c>
      <c r="F9" s="96"/>
      <c r="G9" s="9"/>
      <c r="H9" s="9" t="s">
        <v>375</v>
      </c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</row>
    <row r="10" spans="1:26" ht="21" customHeight="1" x14ac:dyDescent="0.2">
      <c r="A10" s="9" t="s">
        <v>383</v>
      </c>
      <c r="B10" s="9"/>
      <c r="C10" s="9"/>
      <c r="D10" s="9"/>
      <c r="E10" s="9"/>
      <c r="F10" s="96"/>
      <c r="G10" s="9"/>
      <c r="H10" s="9"/>
      <c r="I10" s="94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</row>
    <row r="11" spans="1:26" ht="21" customHeight="1" x14ac:dyDescent="0.2">
      <c r="A11" s="291">
        <v>1</v>
      </c>
      <c r="B11" s="267" t="s">
        <v>372</v>
      </c>
      <c r="C11" s="267" t="s">
        <v>384</v>
      </c>
      <c r="D11" s="267" t="s">
        <v>300</v>
      </c>
      <c r="E11" s="267" t="s">
        <v>385</v>
      </c>
      <c r="F11" s="267"/>
      <c r="G11" s="267"/>
      <c r="H11" s="292" t="s">
        <v>386</v>
      </c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</row>
    <row r="12" spans="1:26" ht="21" customHeight="1" x14ac:dyDescent="0.15">
      <c r="A12" s="9">
        <v>2</v>
      </c>
      <c r="B12" s="9" t="s">
        <v>372</v>
      </c>
      <c r="C12" s="9" t="s">
        <v>384</v>
      </c>
      <c r="D12" s="9" t="s">
        <v>387</v>
      </c>
      <c r="E12" s="9" t="s">
        <v>388</v>
      </c>
      <c r="F12" s="96"/>
      <c r="G12" s="9"/>
      <c r="H12" s="98" t="s">
        <v>386</v>
      </c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spans="1:26" ht="21" customHeight="1" x14ac:dyDescent="0.15">
      <c r="A13" s="9">
        <v>3</v>
      </c>
      <c r="B13" s="9" t="s">
        <v>372</v>
      </c>
      <c r="C13" s="9" t="s">
        <v>384</v>
      </c>
      <c r="D13" s="9" t="s">
        <v>389</v>
      </c>
      <c r="E13" s="9" t="s">
        <v>390</v>
      </c>
      <c r="F13" s="96"/>
      <c r="G13" s="9"/>
      <c r="H13" s="98" t="s">
        <v>386</v>
      </c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spans="1:26" ht="21" customHeight="1" x14ac:dyDescent="0.15">
      <c r="A14" s="9"/>
      <c r="B14" s="9"/>
      <c r="C14" s="9"/>
      <c r="D14" s="9"/>
      <c r="E14" s="9"/>
      <c r="F14" s="96"/>
      <c r="G14" s="9"/>
      <c r="H14" s="98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spans="1:26" ht="21" customHeight="1" x14ac:dyDescent="0.15">
      <c r="A15" s="9"/>
      <c r="B15" s="9"/>
      <c r="C15" s="9"/>
      <c r="D15" s="9"/>
      <c r="E15" s="9"/>
      <c r="F15" s="96"/>
      <c r="G15" s="9"/>
      <c r="H15" s="98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spans="1:26" ht="21" customHeight="1" x14ac:dyDescent="0.15"/>
    <row r="17" ht="21" customHeight="1" x14ac:dyDescent="0.15"/>
    <row r="18" ht="21" customHeight="1" x14ac:dyDescent="0.15"/>
    <row r="19" ht="21" customHeight="1" x14ac:dyDescent="0.15"/>
    <row r="20" ht="21" customHeight="1" x14ac:dyDescent="0.15"/>
    <row r="21" ht="21" customHeight="1" x14ac:dyDescent="0.15"/>
    <row r="22" ht="21" customHeight="1" x14ac:dyDescent="0.15"/>
    <row r="23" ht="21" customHeight="1" x14ac:dyDescent="0.15"/>
    <row r="24" ht="21" customHeight="1" x14ac:dyDescent="0.15"/>
    <row r="25" ht="21" customHeight="1" x14ac:dyDescent="0.15"/>
    <row r="26" ht="21" customHeight="1" x14ac:dyDescent="0.15"/>
    <row r="27" ht="21" customHeight="1" x14ac:dyDescent="0.15"/>
    <row r="28" ht="21" customHeight="1" x14ac:dyDescent="0.15"/>
    <row r="29" ht="21" customHeight="1" x14ac:dyDescent="0.15"/>
    <row r="30" ht="21" customHeight="1" x14ac:dyDescent="0.15"/>
    <row r="31" ht="21" customHeight="1" x14ac:dyDescent="0.15"/>
    <row r="32" ht="21" customHeight="1" x14ac:dyDescent="0.15"/>
    <row r="33" ht="21" customHeight="1" x14ac:dyDescent="0.15"/>
    <row r="34" ht="21" customHeight="1" x14ac:dyDescent="0.15"/>
    <row r="35" ht="21" customHeight="1" x14ac:dyDescent="0.15"/>
    <row r="36" ht="21" customHeight="1" x14ac:dyDescent="0.15"/>
    <row r="37" ht="21" customHeight="1" x14ac:dyDescent="0.15"/>
    <row r="38" ht="21" customHeight="1" x14ac:dyDescent="0.15"/>
    <row r="39" ht="21" customHeight="1" x14ac:dyDescent="0.15"/>
    <row r="40" ht="21" customHeight="1" x14ac:dyDescent="0.15"/>
    <row r="41" ht="21" customHeight="1" x14ac:dyDescent="0.15"/>
    <row r="42" ht="21" customHeight="1" x14ac:dyDescent="0.15"/>
    <row r="43" ht="21" customHeight="1" x14ac:dyDescent="0.15"/>
    <row r="44" ht="21" customHeight="1" x14ac:dyDescent="0.15"/>
    <row r="45" ht="21" customHeight="1" x14ac:dyDescent="0.15"/>
    <row r="46" ht="21" customHeight="1" x14ac:dyDescent="0.15"/>
    <row r="47" ht="21" customHeight="1" x14ac:dyDescent="0.15"/>
    <row r="48" ht="21" customHeight="1" x14ac:dyDescent="0.15"/>
    <row r="49" ht="21" customHeight="1" x14ac:dyDescent="0.15"/>
    <row r="50" ht="21" customHeight="1" x14ac:dyDescent="0.15"/>
    <row r="51" ht="21" customHeight="1" x14ac:dyDescent="0.15"/>
    <row r="52" ht="21" customHeight="1" x14ac:dyDescent="0.15"/>
    <row r="53" ht="21" customHeight="1" x14ac:dyDescent="0.15"/>
    <row r="54" ht="21" customHeight="1" x14ac:dyDescent="0.15"/>
    <row r="55" ht="21" customHeight="1" x14ac:dyDescent="0.15"/>
    <row r="56" ht="21" customHeight="1" x14ac:dyDescent="0.15"/>
    <row r="57" ht="21" customHeight="1" x14ac:dyDescent="0.15"/>
    <row r="58" ht="21" customHeight="1" x14ac:dyDescent="0.15"/>
    <row r="59" ht="21" customHeight="1" x14ac:dyDescent="0.15"/>
    <row r="60" ht="21" customHeight="1" x14ac:dyDescent="0.15"/>
    <row r="61" ht="21" customHeight="1" x14ac:dyDescent="0.15"/>
    <row r="62" ht="21" customHeight="1" x14ac:dyDescent="0.15"/>
    <row r="63" ht="21" customHeight="1" x14ac:dyDescent="0.15"/>
    <row r="64" ht="21" customHeight="1" x14ac:dyDescent="0.15"/>
    <row r="65" ht="21" customHeight="1" x14ac:dyDescent="0.15"/>
    <row r="66" ht="21" customHeight="1" x14ac:dyDescent="0.15"/>
    <row r="67" ht="21" customHeight="1" x14ac:dyDescent="0.15"/>
    <row r="68" ht="21" customHeight="1" x14ac:dyDescent="0.15"/>
    <row r="69" ht="21" customHeight="1" x14ac:dyDescent="0.15"/>
    <row r="70" ht="21" customHeight="1" x14ac:dyDescent="0.15"/>
    <row r="71" ht="21" customHeight="1" x14ac:dyDescent="0.15"/>
    <row r="72" ht="21" customHeight="1" x14ac:dyDescent="0.15"/>
    <row r="73" ht="21" customHeight="1" x14ac:dyDescent="0.15"/>
    <row r="74" ht="21" customHeight="1" x14ac:dyDescent="0.15"/>
    <row r="75" ht="21" customHeight="1" x14ac:dyDescent="0.15"/>
    <row r="76" ht="21" customHeight="1" x14ac:dyDescent="0.15"/>
    <row r="77" ht="21" customHeight="1" x14ac:dyDescent="0.15"/>
    <row r="78" ht="21" customHeight="1" x14ac:dyDescent="0.15"/>
    <row r="79" ht="21" customHeight="1" x14ac:dyDescent="0.15"/>
    <row r="80" ht="21" customHeight="1" x14ac:dyDescent="0.15"/>
    <row r="81" ht="21" customHeight="1" x14ac:dyDescent="0.15"/>
    <row r="82" ht="21" customHeight="1" x14ac:dyDescent="0.15"/>
    <row r="83" ht="21" customHeight="1" x14ac:dyDescent="0.15"/>
    <row r="84" ht="21" customHeight="1" x14ac:dyDescent="0.15"/>
    <row r="85" ht="21" customHeight="1" x14ac:dyDescent="0.15"/>
    <row r="86" ht="21" customHeight="1" x14ac:dyDescent="0.15"/>
    <row r="87" ht="21" customHeight="1" x14ac:dyDescent="0.15"/>
    <row r="88" ht="21" customHeight="1" x14ac:dyDescent="0.15"/>
    <row r="89" ht="21" customHeight="1" x14ac:dyDescent="0.15"/>
    <row r="90" ht="21" customHeight="1" x14ac:dyDescent="0.15"/>
    <row r="91" ht="21" customHeight="1" x14ac:dyDescent="0.15"/>
    <row r="92" ht="21" customHeight="1" x14ac:dyDescent="0.15"/>
    <row r="93" ht="21" customHeight="1" x14ac:dyDescent="0.15"/>
    <row r="94" ht="21" customHeight="1" x14ac:dyDescent="0.15"/>
    <row r="95" ht="21" customHeight="1" x14ac:dyDescent="0.15"/>
    <row r="96" ht="21" customHeight="1" x14ac:dyDescent="0.15"/>
    <row r="97" ht="21" customHeight="1" x14ac:dyDescent="0.15"/>
    <row r="98" ht="21" customHeight="1" x14ac:dyDescent="0.15"/>
    <row r="99" ht="21" customHeight="1" x14ac:dyDescent="0.15"/>
    <row r="100" ht="21" customHeight="1" x14ac:dyDescent="0.15"/>
    <row r="101" ht="21" customHeight="1" x14ac:dyDescent="0.15"/>
    <row r="102" ht="21" customHeight="1" x14ac:dyDescent="0.15"/>
    <row r="103" ht="21" customHeight="1" x14ac:dyDescent="0.15"/>
    <row r="104" ht="21" customHeight="1" x14ac:dyDescent="0.15"/>
    <row r="105" ht="21" customHeight="1" x14ac:dyDescent="0.15"/>
    <row r="106" ht="21" customHeight="1" x14ac:dyDescent="0.15"/>
    <row r="107" ht="21" customHeight="1" x14ac:dyDescent="0.15"/>
    <row r="108" ht="21" customHeight="1" x14ac:dyDescent="0.15"/>
    <row r="109" ht="21" customHeight="1" x14ac:dyDescent="0.15"/>
    <row r="110" ht="21" customHeight="1" x14ac:dyDescent="0.15"/>
    <row r="111" ht="21" customHeight="1" x14ac:dyDescent="0.15"/>
    <row r="112" ht="21" customHeight="1" x14ac:dyDescent="0.15"/>
    <row r="113" ht="21" customHeight="1" x14ac:dyDescent="0.15"/>
    <row r="114" ht="21" customHeight="1" x14ac:dyDescent="0.15"/>
    <row r="115" ht="21" customHeight="1" x14ac:dyDescent="0.15"/>
    <row r="116" ht="21" customHeight="1" x14ac:dyDescent="0.15"/>
    <row r="117" ht="21" customHeight="1" x14ac:dyDescent="0.15"/>
    <row r="118" ht="21" customHeight="1" x14ac:dyDescent="0.15"/>
    <row r="119" ht="21" customHeight="1" x14ac:dyDescent="0.15"/>
    <row r="120" ht="21" customHeight="1" x14ac:dyDescent="0.15"/>
    <row r="121" ht="21" customHeight="1" x14ac:dyDescent="0.15"/>
    <row r="122" ht="21" customHeight="1" x14ac:dyDescent="0.15"/>
    <row r="123" ht="21" customHeight="1" x14ac:dyDescent="0.15"/>
    <row r="124" ht="21" customHeight="1" x14ac:dyDescent="0.15"/>
    <row r="125" ht="21" customHeight="1" x14ac:dyDescent="0.15"/>
    <row r="126" ht="21" customHeight="1" x14ac:dyDescent="0.15"/>
    <row r="127" ht="21" customHeight="1" x14ac:dyDescent="0.15"/>
    <row r="128" ht="21" customHeight="1" x14ac:dyDescent="0.15"/>
    <row r="129" ht="21" customHeight="1" x14ac:dyDescent="0.15"/>
    <row r="130" ht="21" customHeight="1" x14ac:dyDescent="0.15"/>
    <row r="131" ht="21" customHeight="1" x14ac:dyDescent="0.15"/>
    <row r="132" ht="21" customHeight="1" x14ac:dyDescent="0.15"/>
    <row r="133" ht="21" customHeight="1" x14ac:dyDescent="0.15"/>
    <row r="134" ht="21" customHeight="1" x14ac:dyDescent="0.15"/>
    <row r="135" ht="21" customHeight="1" x14ac:dyDescent="0.15"/>
    <row r="136" ht="21" customHeight="1" x14ac:dyDescent="0.15"/>
    <row r="137" ht="21" customHeight="1" x14ac:dyDescent="0.15"/>
    <row r="138" ht="21" customHeight="1" x14ac:dyDescent="0.15"/>
    <row r="139" ht="21" customHeight="1" x14ac:dyDescent="0.15"/>
    <row r="140" ht="21" customHeight="1" x14ac:dyDescent="0.15"/>
    <row r="141" ht="21" customHeight="1" x14ac:dyDescent="0.15"/>
    <row r="142" ht="21" customHeight="1" x14ac:dyDescent="0.15"/>
    <row r="143" ht="21" customHeight="1" x14ac:dyDescent="0.15"/>
    <row r="144" ht="21" customHeight="1" x14ac:dyDescent="0.15"/>
    <row r="145" ht="21" customHeight="1" x14ac:dyDescent="0.15"/>
    <row r="146" ht="21" customHeight="1" x14ac:dyDescent="0.15"/>
    <row r="147" ht="21" customHeight="1" x14ac:dyDescent="0.15"/>
    <row r="148" ht="21" customHeight="1" x14ac:dyDescent="0.15"/>
    <row r="149" ht="21" customHeight="1" x14ac:dyDescent="0.15"/>
    <row r="150" ht="21" customHeight="1" x14ac:dyDescent="0.15"/>
    <row r="151" ht="21" customHeight="1" x14ac:dyDescent="0.15"/>
    <row r="152" ht="21" customHeight="1" x14ac:dyDescent="0.15"/>
    <row r="153" ht="21" customHeight="1" x14ac:dyDescent="0.15"/>
    <row r="154" ht="21" customHeight="1" x14ac:dyDescent="0.15"/>
    <row r="155" ht="21" customHeight="1" x14ac:dyDescent="0.15"/>
    <row r="156" ht="21" customHeight="1" x14ac:dyDescent="0.15"/>
    <row r="157" ht="21" customHeight="1" x14ac:dyDescent="0.15"/>
    <row r="158" ht="21" customHeight="1" x14ac:dyDescent="0.15"/>
    <row r="159" ht="21" customHeight="1" x14ac:dyDescent="0.15"/>
    <row r="160" ht="21" customHeight="1" x14ac:dyDescent="0.15"/>
    <row r="161" ht="21" customHeight="1" x14ac:dyDescent="0.15"/>
    <row r="162" ht="21" customHeight="1" x14ac:dyDescent="0.15"/>
    <row r="163" ht="21" customHeight="1" x14ac:dyDescent="0.15"/>
    <row r="164" ht="21" customHeight="1" x14ac:dyDescent="0.15"/>
    <row r="165" ht="21" customHeight="1" x14ac:dyDescent="0.15"/>
    <row r="166" ht="21" customHeight="1" x14ac:dyDescent="0.15"/>
    <row r="167" ht="21" customHeight="1" x14ac:dyDescent="0.15"/>
    <row r="168" ht="21" customHeight="1" x14ac:dyDescent="0.15"/>
    <row r="169" ht="21" customHeight="1" x14ac:dyDescent="0.15"/>
    <row r="170" ht="21" customHeight="1" x14ac:dyDescent="0.15"/>
    <row r="171" ht="21" customHeight="1" x14ac:dyDescent="0.15"/>
    <row r="172" ht="21" customHeight="1" x14ac:dyDescent="0.15"/>
    <row r="173" ht="21" customHeight="1" x14ac:dyDescent="0.15"/>
    <row r="174" ht="21" customHeight="1" x14ac:dyDescent="0.15"/>
    <row r="175" ht="21" customHeight="1" x14ac:dyDescent="0.15"/>
    <row r="176" ht="21" customHeight="1" x14ac:dyDescent="0.15"/>
    <row r="177" ht="21" customHeight="1" x14ac:dyDescent="0.15"/>
    <row r="178" ht="21" customHeight="1" x14ac:dyDescent="0.15"/>
    <row r="179" ht="21" customHeight="1" x14ac:dyDescent="0.15"/>
    <row r="180" ht="21" customHeight="1" x14ac:dyDescent="0.15"/>
    <row r="181" ht="21" customHeight="1" x14ac:dyDescent="0.15"/>
    <row r="182" ht="21" customHeight="1" x14ac:dyDescent="0.15"/>
    <row r="183" ht="21" customHeight="1" x14ac:dyDescent="0.15"/>
    <row r="184" ht="21" customHeight="1" x14ac:dyDescent="0.15"/>
    <row r="185" ht="21" customHeight="1" x14ac:dyDescent="0.15"/>
    <row r="186" ht="21" customHeight="1" x14ac:dyDescent="0.15"/>
    <row r="187" ht="21" customHeight="1" x14ac:dyDescent="0.15"/>
    <row r="188" ht="21" customHeight="1" x14ac:dyDescent="0.15"/>
    <row r="189" ht="21" customHeight="1" x14ac:dyDescent="0.15"/>
    <row r="190" ht="21" customHeight="1" x14ac:dyDescent="0.15"/>
    <row r="191" ht="21" customHeight="1" x14ac:dyDescent="0.15"/>
    <row r="192" ht="21" customHeight="1" x14ac:dyDescent="0.15"/>
    <row r="193" ht="21" customHeight="1" x14ac:dyDescent="0.15"/>
    <row r="194" ht="21" customHeight="1" x14ac:dyDescent="0.15"/>
    <row r="195" ht="21" customHeight="1" x14ac:dyDescent="0.15"/>
    <row r="196" ht="21" customHeight="1" x14ac:dyDescent="0.15"/>
    <row r="197" ht="21" customHeight="1" x14ac:dyDescent="0.15"/>
    <row r="198" ht="21" customHeight="1" x14ac:dyDescent="0.15"/>
    <row r="199" ht="21" customHeight="1" x14ac:dyDescent="0.15"/>
    <row r="200" ht="21" customHeight="1" x14ac:dyDescent="0.15"/>
    <row r="201" ht="21" customHeight="1" x14ac:dyDescent="0.15"/>
    <row r="202" ht="21" customHeight="1" x14ac:dyDescent="0.15"/>
    <row r="203" ht="21" customHeight="1" x14ac:dyDescent="0.15"/>
    <row r="204" ht="21" customHeight="1" x14ac:dyDescent="0.15"/>
    <row r="205" ht="21" customHeight="1" x14ac:dyDescent="0.15"/>
    <row r="206" ht="21" customHeight="1" x14ac:dyDescent="0.15"/>
    <row r="207" ht="21" customHeight="1" x14ac:dyDescent="0.15"/>
    <row r="208" ht="21" customHeight="1" x14ac:dyDescent="0.15"/>
    <row r="209" ht="21" customHeight="1" x14ac:dyDescent="0.15"/>
    <row r="210" ht="21" customHeight="1" x14ac:dyDescent="0.15"/>
    <row r="211" ht="21" customHeight="1" x14ac:dyDescent="0.15"/>
    <row r="212" ht="21" customHeight="1" x14ac:dyDescent="0.15"/>
    <row r="213" ht="21" customHeight="1" x14ac:dyDescent="0.15"/>
    <row r="214" ht="21" customHeight="1" x14ac:dyDescent="0.15"/>
    <row r="215" ht="21" customHeight="1" x14ac:dyDescent="0.15"/>
    <row r="216" ht="21" customHeight="1" x14ac:dyDescent="0.15"/>
    <row r="217" ht="21" customHeight="1" x14ac:dyDescent="0.15"/>
    <row r="218" ht="21" customHeight="1" x14ac:dyDescent="0.15"/>
    <row r="219" ht="21" customHeight="1" x14ac:dyDescent="0.15"/>
    <row r="220" ht="21" customHeight="1" x14ac:dyDescent="0.15"/>
    <row r="221" ht="21" customHeight="1" x14ac:dyDescent="0.15"/>
    <row r="222" ht="21" customHeight="1" x14ac:dyDescent="0.15"/>
    <row r="223" ht="21" customHeight="1" x14ac:dyDescent="0.15"/>
    <row r="224" ht="21" customHeight="1" x14ac:dyDescent="0.15"/>
    <row r="225" ht="21" customHeight="1" x14ac:dyDescent="0.15"/>
    <row r="226" ht="21" customHeight="1" x14ac:dyDescent="0.15"/>
    <row r="227" ht="21" customHeight="1" x14ac:dyDescent="0.15"/>
    <row r="228" ht="21" customHeight="1" x14ac:dyDescent="0.15"/>
    <row r="229" ht="21" customHeight="1" x14ac:dyDescent="0.15"/>
    <row r="230" ht="21" customHeight="1" x14ac:dyDescent="0.15"/>
    <row r="231" ht="21" customHeight="1" x14ac:dyDescent="0.15"/>
    <row r="232" ht="21" customHeight="1" x14ac:dyDescent="0.15"/>
    <row r="233" ht="21" customHeight="1" x14ac:dyDescent="0.15"/>
    <row r="234" ht="21" customHeight="1" x14ac:dyDescent="0.15"/>
    <row r="235" ht="21" customHeight="1" x14ac:dyDescent="0.15"/>
    <row r="236" ht="21" customHeight="1" x14ac:dyDescent="0.15"/>
    <row r="237" ht="21" customHeight="1" x14ac:dyDescent="0.15"/>
    <row r="238" ht="21" customHeight="1" x14ac:dyDescent="0.15"/>
    <row r="239" ht="21" customHeight="1" x14ac:dyDescent="0.15"/>
    <row r="240" ht="21" customHeight="1" x14ac:dyDescent="0.15"/>
    <row r="241" ht="21" customHeight="1" x14ac:dyDescent="0.15"/>
    <row r="242" ht="21" customHeight="1" x14ac:dyDescent="0.15"/>
    <row r="243" ht="21" customHeight="1" x14ac:dyDescent="0.15"/>
    <row r="244" ht="21" customHeight="1" x14ac:dyDescent="0.15"/>
    <row r="245" ht="21" customHeight="1" x14ac:dyDescent="0.15"/>
    <row r="246" ht="21" customHeight="1" x14ac:dyDescent="0.15"/>
    <row r="247" ht="21" customHeight="1" x14ac:dyDescent="0.15"/>
    <row r="248" ht="21" customHeight="1" x14ac:dyDescent="0.15"/>
    <row r="249" ht="21" customHeight="1" x14ac:dyDescent="0.15"/>
    <row r="250" ht="21" customHeight="1" x14ac:dyDescent="0.15"/>
    <row r="251" ht="21" customHeight="1" x14ac:dyDescent="0.15"/>
    <row r="252" ht="21" customHeight="1" x14ac:dyDescent="0.15"/>
    <row r="253" ht="21" customHeight="1" x14ac:dyDescent="0.15"/>
    <row r="254" ht="21" customHeight="1" x14ac:dyDescent="0.15"/>
    <row r="255" ht="21" customHeight="1" x14ac:dyDescent="0.15"/>
    <row r="256" ht="21" customHeight="1" x14ac:dyDescent="0.15"/>
    <row r="257" ht="21" customHeight="1" x14ac:dyDescent="0.15"/>
    <row r="258" ht="21" customHeight="1" x14ac:dyDescent="0.15"/>
    <row r="259" ht="21" customHeight="1" x14ac:dyDescent="0.15"/>
    <row r="260" ht="21" customHeight="1" x14ac:dyDescent="0.15"/>
    <row r="261" ht="21" customHeight="1" x14ac:dyDescent="0.15"/>
    <row r="262" ht="21" customHeight="1" x14ac:dyDescent="0.15"/>
    <row r="263" ht="21" customHeight="1" x14ac:dyDescent="0.15"/>
    <row r="264" ht="21" customHeight="1" x14ac:dyDescent="0.15"/>
    <row r="265" ht="21" customHeight="1" x14ac:dyDescent="0.15"/>
    <row r="266" ht="21" customHeight="1" x14ac:dyDescent="0.15"/>
    <row r="267" ht="21" customHeight="1" x14ac:dyDescent="0.15"/>
    <row r="268" ht="21" customHeight="1" x14ac:dyDescent="0.15"/>
    <row r="269" ht="21" customHeight="1" x14ac:dyDescent="0.15"/>
    <row r="270" ht="21" customHeight="1" x14ac:dyDescent="0.15"/>
    <row r="271" ht="21" customHeight="1" x14ac:dyDescent="0.15"/>
    <row r="272" ht="21" customHeight="1" x14ac:dyDescent="0.15"/>
    <row r="273" ht="21" customHeight="1" x14ac:dyDescent="0.15"/>
    <row r="274" ht="21" customHeight="1" x14ac:dyDescent="0.15"/>
    <row r="275" ht="21" customHeight="1" x14ac:dyDescent="0.15"/>
    <row r="276" ht="21" customHeight="1" x14ac:dyDescent="0.15"/>
    <row r="277" ht="21" customHeight="1" x14ac:dyDescent="0.15"/>
    <row r="278" ht="21" customHeight="1" x14ac:dyDescent="0.15"/>
    <row r="279" ht="21" customHeight="1" x14ac:dyDescent="0.15"/>
    <row r="280" ht="21" customHeight="1" x14ac:dyDescent="0.15"/>
    <row r="281" ht="21" customHeight="1" x14ac:dyDescent="0.15"/>
    <row r="282" ht="21" customHeight="1" x14ac:dyDescent="0.15"/>
    <row r="283" ht="21" customHeight="1" x14ac:dyDescent="0.15"/>
    <row r="284" ht="21" customHeight="1" x14ac:dyDescent="0.15"/>
    <row r="285" ht="21" customHeight="1" x14ac:dyDescent="0.15"/>
    <row r="286" ht="21" customHeight="1" x14ac:dyDescent="0.15"/>
    <row r="287" ht="21" customHeight="1" x14ac:dyDescent="0.15"/>
    <row r="288" ht="21" customHeight="1" x14ac:dyDescent="0.15"/>
    <row r="289" ht="21" customHeight="1" x14ac:dyDescent="0.15"/>
    <row r="290" ht="21" customHeight="1" x14ac:dyDescent="0.15"/>
    <row r="291" ht="21" customHeight="1" x14ac:dyDescent="0.15"/>
    <row r="292" ht="21" customHeight="1" x14ac:dyDescent="0.15"/>
    <row r="293" ht="21" customHeight="1" x14ac:dyDescent="0.15"/>
    <row r="294" ht="21" customHeight="1" x14ac:dyDescent="0.15"/>
    <row r="295" ht="21" customHeight="1" x14ac:dyDescent="0.15"/>
    <row r="296" ht="21" customHeight="1" x14ac:dyDescent="0.15"/>
    <row r="297" ht="21" customHeight="1" x14ac:dyDescent="0.15"/>
    <row r="298" ht="21" customHeight="1" x14ac:dyDescent="0.15"/>
    <row r="299" ht="21" customHeight="1" x14ac:dyDescent="0.15"/>
    <row r="300" ht="21" customHeight="1" x14ac:dyDescent="0.15"/>
    <row r="301" ht="21" customHeight="1" x14ac:dyDescent="0.15"/>
    <row r="302" ht="21" customHeight="1" x14ac:dyDescent="0.15"/>
    <row r="303" ht="21" customHeight="1" x14ac:dyDescent="0.15"/>
    <row r="304" ht="21" customHeight="1" x14ac:dyDescent="0.15"/>
    <row r="305" ht="21" customHeight="1" x14ac:dyDescent="0.15"/>
    <row r="306" ht="21" customHeight="1" x14ac:dyDescent="0.15"/>
    <row r="307" ht="21" customHeight="1" x14ac:dyDescent="0.15"/>
    <row r="308" ht="21" customHeight="1" x14ac:dyDescent="0.15"/>
    <row r="309" ht="21" customHeight="1" x14ac:dyDescent="0.15"/>
    <row r="310" ht="21" customHeight="1" x14ac:dyDescent="0.15"/>
    <row r="311" ht="21" customHeight="1" x14ac:dyDescent="0.15"/>
    <row r="312" ht="21" customHeight="1" x14ac:dyDescent="0.15"/>
    <row r="313" ht="21" customHeight="1" x14ac:dyDescent="0.15"/>
    <row r="314" ht="21" customHeight="1" x14ac:dyDescent="0.15"/>
    <row r="315" ht="21" customHeight="1" x14ac:dyDescent="0.15"/>
    <row r="316" ht="21" customHeight="1" x14ac:dyDescent="0.15"/>
    <row r="317" ht="21" customHeight="1" x14ac:dyDescent="0.15"/>
    <row r="318" ht="21" customHeight="1" x14ac:dyDescent="0.15"/>
    <row r="319" ht="21" customHeight="1" x14ac:dyDescent="0.15"/>
    <row r="320" ht="21" customHeight="1" x14ac:dyDescent="0.15"/>
    <row r="321" ht="21" customHeight="1" x14ac:dyDescent="0.15"/>
    <row r="322" ht="21" customHeight="1" x14ac:dyDescent="0.15"/>
    <row r="323" ht="21" customHeight="1" x14ac:dyDescent="0.15"/>
    <row r="324" ht="21" customHeight="1" x14ac:dyDescent="0.15"/>
    <row r="325" ht="21" customHeight="1" x14ac:dyDescent="0.15"/>
    <row r="326" ht="21" customHeight="1" x14ac:dyDescent="0.15"/>
    <row r="327" ht="21" customHeight="1" x14ac:dyDescent="0.15"/>
    <row r="328" ht="21" customHeight="1" x14ac:dyDescent="0.15"/>
    <row r="329" ht="21" customHeight="1" x14ac:dyDescent="0.15"/>
    <row r="330" ht="21" customHeight="1" x14ac:dyDescent="0.15"/>
    <row r="331" ht="21" customHeight="1" x14ac:dyDescent="0.15"/>
    <row r="332" ht="21" customHeight="1" x14ac:dyDescent="0.15"/>
    <row r="333" ht="21" customHeight="1" x14ac:dyDescent="0.15"/>
    <row r="334" ht="21" customHeight="1" x14ac:dyDescent="0.15"/>
    <row r="335" ht="21" customHeight="1" x14ac:dyDescent="0.15"/>
    <row r="336" ht="21" customHeight="1" x14ac:dyDescent="0.15"/>
    <row r="337" ht="21" customHeight="1" x14ac:dyDescent="0.15"/>
    <row r="338" ht="21" customHeight="1" x14ac:dyDescent="0.15"/>
    <row r="339" ht="21" customHeight="1" x14ac:dyDescent="0.15"/>
    <row r="340" ht="21" customHeight="1" x14ac:dyDescent="0.15"/>
    <row r="341" ht="21" customHeight="1" x14ac:dyDescent="0.15"/>
    <row r="342" ht="21" customHeight="1" x14ac:dyDescent="0.15"/>
    <row r="343" ht="21" customHeight="1" x14ac:dyDescent="0.15"/>
    <row r="344" ht="21" customHeight="1" x14ac:dyDescent="0.15"/>
    <row r="345" ht="21" customHeight="1" x14ac:dyDescent="0.15"/>
    <row r="346" ht="21" customHeight="1" x14ac:dyDescent="0.15"/>
    <row r="347" ht="21" customHeight="1" x14ac:dyDescent="0.15"/>
    <row r="348" ht="21" customHeight="1" x14ac:dyDescent="0.15"/>
    <row r="349" ht="21" customHeight="1" x14ac:dyDescent="0.15"/>
    <row r="350" ht="21" customHeight="1" x14ac:dyDescent="0.15"/>
    <row r="351" ht="21" customHeight="1" x14ac:dyDescent="0.15"/>
    <row r="352" ht="21" customHeight="1" x14ac:dyDescent="0.15"/>
    <row r="353" ht="21" customHeight="1" x14ac:dyDescent="0.15"/>
    <row r="354" ht="21" customHeight="1" x14ac:dyDescent="0.15"/>
    <row r="355" ht="21" customHeight="1" x14ac:dyDescent="0.15"/>
    <row r="356" ht="21" customHeight="1" x14ac:dyDescent="0.15"/>
    <row r="357" ht="21" customHeight="1" x14ac:dyDescent="0.15"/>
    <row r="358" ht="21" customHeight="1" x14ac:dyDescent="0.15"/>
    <row r="359" ht="21" customHeight="1" x14ac:dyDescent="0.15"/>
    <row r="360" ht="21" customHeight="1" x14ac:dyDescent="0.15"/>
    <row r="361" ht="21" customHeight="1" x14ac:dyDescent="0.15"/>
    <row r="362" ht="21" customHeight="1" x14ac:dyDescent="0.15"/>
    <row r="363" ht="21" customHeight="1" x14ac:dyDescent="0.15"/>
    <row r="364" ht="21" customHeight="1" x14ac:dyDescent="0.15"/>
    <row r="365" ht="21" customHeight="1" x14ac:dyDescent="0.15"/>
    <row r="366" ht="21" customHeight="1" x14ac:dyDescent="0.15"/>
    <row r="367" ht="21" customHeight="1" x14ac:dyDescent="0.15"/>
    <row r="368" ht="21" customHeight="1" x14ac:dyDescent="0.15"/>
    <row r="369" ht="21" customHeight="1" x14ac:dyDescent="0.15"/>
    <row r="370" ht="21" customHeight="1" x14ac:dyDescent="0.15"/>
    <row r="371" ht="21" customHeight="1" x14ac:dyDescent="0.15"/>
    <row r="372" ht="21" customHeight="1" x14ac:dyDescent="0.15"/>
    <row r="373" ht="21" customHeight="1" x14ac:dyDescent="0.15"/>
    <row r="374" ht="21" customHeight="1" x14ac:dyDescent="0.15"/>
    <row r="375" ht="21" customHeight="1" x14ac:dyDescent="0.15"/>
    <row r="376" ht="21" customHeight="1" x14ac:dyDescent="0.15"/>
    <row r="377" ht="21" customHeight="1" x14ac:dyDescent="0.15"/>
    <row r="378" ht="21" customHeight="1" x14ac:dyDescent="0.15"/>
    <row r="379" ht="21" customHeight="1" x14ac:dyDescent="0.15"/>
    <row r="380" ht="21" customHeight="1" x14ac:dyDescent="0.15"/>
    <row r="381" ht="21" customHeight="1" x14ac:dyDescent="0.15"/>
    <row r="382" ht="21" customHeight="1" x14ac:dyDescent="0.15"/>
    <row r="383" ht="21" customHeight="1" x14ac:dyDescent="0.15"/>
    <row r="384" ht="21" customHeight="1" x14ac:dyDescent="0.15"/>
    <row r="385" ht="21" customHeight="1" x14ac:dyDescent="0.15"/>
    <row r="386" ht="21" customHeight="1" x14ac:dyDescent="0.15"/>
    <row r="387" ht="21" customHeight="1" x14ac:dyDescent="0.15"/>
    <row r="388" ht="21" customHeight="1" x14ac:dyDescent="0.15"/>
    <row r="389" ht="21" customHeight="1" x14ac:dyDescent="0.15"/>
    <row r="390" ht="21" customHeight="1" x14ac:dyDescent="0.15"/>
    <row r="391" ht="21" customHeight="1" x14ac:dyDescent="0.15"/>
    <row r="392" ht="21" customHeight="1" x14ac:dyDescent="0.15"/>
    <row r="393" ht="21" customHeight="1" x14ac:dyDescent="0.15"/>
    <row r="394" ht="21" customHeight="1" x14ac:dyDescent="0.15"/>
    <row r="395" ht="21" customHeight="1" x14ac:dyDescent="0.15"/>
    <row r="396" ht="21" customHeight="1" x14ac:dyDescent="0.15"/>
    <row r="397" ht="21" customHeight="1" x14ac:dyDescent="0.15"/>
    <row r="398" ht="21" customHeight="1" x14ac:dyDescent="0.15"/>
    <row r="399" ht="21" customHeight="1" x14ac:dyDescent="0.15"/>
    <row r="400" ht="21" customHeight="1" x14ac:dyDescent="0.15"/>
    <row r="401" ht="21" customHeight="1" x14ac:dyDescent="0.15"/>
    <row r="402" ht="21" customHeight="1" x14ac:dyDescent="0.15"/>
    <row r="403" ht="21" customHeight="1" x14ac:dyDescent="0.15"/>
    <row r="404" ht="21" customHeight="1" x14ac:dyDescent="0.15"/>
    <row r="405" ht="21" customHeight="1" x14ac:dyDescent="0.15"/>
    <row r="406" ht="21" customHeight="1" x14ac:dyDescent="0.15"/>
    <row r="407" ht="21" customHeight="1" x14ac:dyDescent="0.15"/>
    <row r="408" ht="21" customHeight="1" x14ac:dyDescent="0.15"/>
    <row r="409" ht="21" customHeight="1" x14ac:dyDescent="0.15"/>
    <row r="410" ht="21" customHeight="1" x14ac:dyDescent="0.15"/>
    <row r="411" ht="21" customHeight="1" x14ac:dyDescent="0.15"/>
    <row r="412" ht="21" customHeight="1" x14ac:dyDescent="0.15"/>
    <row r="413" ht="21" customHeight="1" x14ac:dyDescent="0.15"/>
    <row r="414" ht="21" customHeight="1" x14ac:dyDescent="0.15"/>
    <row r="415" ht="21" customHeight="1" x14ac:dyDescent="0.15"/>
    <row r="416" ht="21" customHeight="1" x14ac:dyDescent="0.15"/>
    <row r="417" ht="21" customHeight="1" x14ac:dyDescent="0.15"/>
    <row r="418" ht="21" customHeight="1" x14ac:dyDescent="0.15"/>
    <row r="419" ht="21" customHeight="1" x14ac:dyDescent="0.15"/>
    <row r="420" ht="21" customHeight="1" x14ac:dyDescent="0.15"/>
    <row r="421" ht="21" customHeight="1" x14ac:dyDescent="0.15"/>
    <row r="422" ht="21" customHeight="1" x14ac:dyDescent="0.15"/>
    <row r="423" ht="21" customHeight="1" x14ac:dyDescent="0.15"/>
    <row r="424" ht="21" customHeight="1" x14ac:dyDescent="0.15"/>
    <row r="425" ht="21" customHeight="1" x14ac:dyDescent="0.15"/>
    <row r="426" ht="21" customHeight="1" x14ac:dyDescent="0.15"/>
    <row r="427" ht="21" customHeight="1" x14ac:dyDescent="0.15"/>
    <row r="428" ht="21" customHeight="1" x14ac:dyDescent="0.15"/>
    <row r="429" ht="21" customHeight="1" x14ac:dyDescent="0.15"/>
    <row r="430" ht="21" customHeight="1" x14ac:dyDescent="0.15"/>
    <row r="431" ht="21" customHeight="1" x14ac:dyDescent="0.15"/>
    <row r="432" ht="21" customHeight="1" x14ac:dyDescent="0.15"/>
    <row r="433" ht="21" customHeight="1" x14ac:dyDescent="0.15"/>
    <row r="434" ht="21" customHeight="1" x14ac:dyDescent="0.15"/>
    <row r="435" ht="21" customHeight="1" x14ac:dyDescent="0.15"/>
    <row r="436" ht="21" customHeight="1" x14ac:dyDescent="0.15"/>
    <row r="437" ht="21" customHeight="1" x14ac:dyDescent="0.15"/>
    <row r="438" ht="21" customHeight="1" x14ac:dyDescent="0.15"/>
    <row r="439" ht="21" customHeight="1" x14ac:dyDescent="0.15"/>
    <row r="440" ht="21" customHeight="1" x14ac:dyDescent="0.15"/>
    <row r="441" ht="21" customHeight="1" x14ac:dyDescent="0.15"/>
    <row r="442" ht="21" customHeight="1" x14ac:dyDescent="0.15"/>
    <row r="443" ht="21" customHeight="1" x14ac:dyDescent="0.15"/>
    <row r="444" ht="21" customHeight="1" x14ac:dyDescent="0.15"/>
    <row r="445" ht="21" customHeight="1" x14ac:dyDescent="0.15"/>
    <row r="446" ht="21" customHeight="1" x14ac:dyDescent="0.15"/>
    <row r="447" ht="21" customHeight="1" x14ac:dyDescent="0.15"/>
    <row r="448" ht="21" customHeight="1" x14ac:dyDescent="0.15"/>
    <row r="449" ht="21" customHeight="1" x14ac:dyDescent="0.15"/>
    <row r="450" ht="21" customHeight="1" x14ac:dyDescent="0.15"/>
    <row r="451" ht="21" customHeight="1" x14ac:dyDescent="0.15"/>
    <row r="452" ht="21" customHeight="1" x14ac:dyDescent="0.15"/>
    <row r="453" ht="21" customHeight="1" x14ac:dyDescent="0.15"/>
    <row r="454" ht="21" customHeight="1" x14ac:dyDescent="0.15"/>
    <row r="455" ht="21" customHeight="1" x14ac:dyDescent="0.15"/>
    <row r="456" ht="21" customHeight="1" x14ac:dyDescent="0.15"/>
    <row r="457" ht="21" customHeight="1" x14ac:dyDescent="0.15"/>
    <row r="458" ht="21" customHeight="1" x14ac:dyDescent="0.15"/>
    <row r="459" ht="21" customHeight="1" x14ac:dyDescent="0.15"/>
    <row r="460" ht="21" customHeight="1" x14ac:dyDescent="0.15"/>
    <row r="461" ht="21" customHeight="1" x14ac:dyDescent="0.15"/>
    <row r="462" ht="21" customHeight="1" x14ac:dyDescent="0.15"/>
    <row r="463" ht="21" customHeight="1" x14ac:dyDescent="0.15"/>
    <row r="464" ht="21" customHeight="1" x14ac:dyDescent="0.15"/>
    <row r="465" ht="21" customHeight="1" x14ac:dyDescent="0.15"/>
    <row r="466" ht="21" customHeight="1" x14ac:dyDescent="0.15"/>
    <row r="467" ht="21" customHeight="1" x14ac:dyDescent="0.15"/>
    <row r="468" ht="21" customHeight="1" x14ac:dyDescent="0.15"/>
    <row r="469" ht="21" customHeight="1" x14ac:dyDescent="0.15"/>
    <row r="470" ht="21" customHeight="1" x14ac:dyDescent="0.15"/>
    <row r="471" ht="21" customHeight="1" x14ac:dyDescent="0.15"/>
    <row r="472" ht="21" customHeight="1" x14ac:dyDescent="0.15"/>
    <row r="473" ht="21" customHeight="1" x14ac:dyDescent="0.15"/>
    <row r="474" ht="21" customHeight="1" x14ac:dyDescent="0.15"/>
    <row r="475" ht="21" customHeight="1" x14ac:dyDescent="0.15"/>
    <row r="476" ht="21" customHeight="1" x14ac:dyDescent="0.15"/>
    <row r="477" ht="21" customHeight="1" x14ac:dyDescent="0.15"/>
    <row r="478" ht="21" customHeight="1" x14ac:dyDescent="0.15"/>
    <row r="479" ht="21" customHeight="1" x14ac:dyDescent="0.15"/>
    <row r="480" ht="21" customHeight="1" x14ac:dyDescent="0.15"/>
    <row r="481" ht="21" customHeight="1" x14ac:dyDescent="0.15"/>
    <row r="482" ht="21" customHeight="1" x14ac:dyDescent="0.15"/>
    <row r="483" ht="21" customHeight="1" x14ac:dyDescent="0.15"/>
    <row r="484" ht="21" customHeight="1" x14ac:dyDescent="0.15"/>
    <row r="485" ht="21" customHeight="1" x14ac:dyDescent="0.15"/>
    <row r="486" ht="21" customHeight="1" x14ac:dyDescent="0.15"/>
    <row r="487" ht="21" customHeight="1" x14ac:dyDescent="0.15"/>
    <row r="488" ht="21" customHeight="1" x14ac:dyDescent="0.15"/>
    <row r="489" ht="21" customHeight="1" x14ac:dyDescent="0.15"/>
    <row r="490" ht="21" customHeight="1" x14ac:dyDescent="0.15"/>
    <row r="491" ht="21" customHeight="1" x14ac:dyDescent="0.15"/>
    <row r="492" ht="21" customHeight="1" x14ac:dyDescent="0.15"/>
    <row r="493" ht="21" customHeight="1" x14ac:dyDescent="0.15"/>
    <row r="494" ht="21" customHeight="1" x14ac:dyDescent="0.15"/>
    <row r="495" ht="21" customHeight="1" x14ac:dyDescent="0.15"/>
    <row r="496" ht="21" customHeight="1" x14ac:dyDescent="0.15"/>
    <row r="497" ht="21" customHeight="1" x14ac:dyDescent="0.15"/>
    <row r="498" ht="21" customHeight="1" x14ac:dyDescent="0.15"/>
    <row r="499" ht="21" customHeight="1" x14ac:dyDescent="0.15"/>
    <row r="500" ht="21" customHeight="1" x14ac:dyDescent="0.15"/>
    <row r="501" ht="21" customHeight="1" x14ac:dyDescent="0.15"/>
    <row r="502" ht="21" customHeight="1" x14ac:dyDescent="0.15"/>
    <row r="503" ht="21" customHeight="1" x14ac:dyDescent="0.15"/>
    <row r="504" ht="21" customHeight="1" x14ac:dyDescent="0.15"/>
    <row r="505" ht="21" customHeight="1" x14ac:dyDescent="0.15"/>
    <row r="506" ht="21" customHeight="1" x14ac:dyDescent="0.15"/>
    <row r="507" ht="21" customHeight="1" x14ac:dyDescent="0.15"/>
    <row r="508" ht="21" customHeight="1" x14ac:dyDescent="0.15"/>
    <row r="509" ht="21" customHeight="1" x14ac:dyDescent="0.15"/>
    <row r="510" ht="21" customHeight="1" x14ac:dyDescent="0.15"/>
    <row r="511" ht="21" customHeight="1" x14ac:dyDescent="0.15"/>
    <row r="512" ht="21" customHeight="1" x14ac:dyDescent="0.15"/>
    <row r="513" ht="21" customHeight="1" x14ac:dyDescent="0.15"/>
    <row r="514" ht="21" customHeight="1" x14ac:dyDescent="0.15"/>
    <row r="515" ht="21" customHeight="1" x14ac:dyDescent="0.15"/>
    <row r="516" ht="21" customHeight="1" x14ac:dyDescent="0.15"/>
    <row r="517" ht="21" customHeight="1" x14ac:dyDescent="0.15"/>
    <row r="518" ht="21" customHeight="1" x14ac:dyDescent="0.15"/>
    <row r="519" ht="21" customHeight="1" x14ac:dyDescent="0.15"/>
    <row r="520" ht="21" customHeight="1" x14ac:dyDescent="0.15"/>
    <row r="521" ht="21" customHeight="1" x14ac:dyDescent="0.15"/>
    <row r="522" ht="21" customHeight="1" x14ac:dyDescent="0.15"/>
    <row r="523" ht="21" customHeight="1" x14ac:dyDescent="0.15"/>
    <row r="524" ht="21" customHeight="1" x14ac:dyDescent="0.15"/>
    <row r="525" ht="21" customHeight="1" x14ac:dyDescent="0.15"/>
    <row r="526" ht="21" customHeight="1" x14ac:dyDescent="0.15"/>
    <row r="527" ht="21" customHeight="1" x14ac:dyDescent="0.15"/>
    <row r="528" ht="21" customHeight="1" x14ac:dyDescent="0.15"/>
    <row r="529" ht="21" customHeight="1" x14ac:dyDescent="0.15"/>
    <row r="530" ht="21" customHeight="1" x14ac:dyDescent="0.15"/>
    <row r="531" ht="21" customHeight="1" x14ac:dyDescent="0.15"/>
    <row r="532" ht="21" customHeight="1" x14ac:dyDescent="0.15"/>
    <row r="533" ht="21" customHeight="1" x14ac:dyDescent="0.15"/>
    <row r="534" ht="21" customHeight="1" x14ac:dyDescent="0.15"/>
    <row r="535" ht="21" customHeight="1" x14ac:dyDescent="0.15"/>
    <row r="536" ht="21" customHeight="1" x14ac:dyDescent="0.15"/>
    <row r="537" ht="21" customHeight="1" x14ac:dyDescent="0.15"/>
    <row r="538" ht="21" customHeight="1" x14ac:dyDescent="0.15"/>
    <row r="539" ht="21" customHeight="1" x14ac:dyDescent="0.15"/>
    <row r="540" ht="21" customHeight="1" x14ac:dyDescent="0.15"/>
    <row r="541" ht="21" customHeight="1" x14ac:dyDescent="0.15"/>
    <row r="542" ht="21" customHeight="1" x14ac:dyDescent="0.15"/>
    <row r="543" ht="21" customHeight="1" x14ac:dyDescent="0.15"/>
    <row r="544" ht="21" customHeight="1" x14ac:dyDescent="0.15"/>
    <row r="545" ht="21" customHeight="1" x14ac:dyDescent="0.15"/>
    <row r="546" ht="21" customHeight="1" x14ac:dyDescent="0.15"/>
    <row r="547" ht="21" customHeight="1" x14ac:dyDescent="0.15"/>
    <row r="548" ht="21" customHeight="1" x14ac:dyDescent="0.15"/>
    <row r="549" ht="21" customHeight="1" x14ac:dyDescent="0.15"/>
    <row r="550" ht="21" customHeight="1" x14ac:dyDescent="0.15"/>
    <row r="551" ht="21" customHeight="1" x14ac:dyDescent="0.15"/>
    <row r="552" ht="21" customHeight="1" x14ac:dyDescent="0.15"/>
    <row r="553" ht="21" customHeight="1" x14ac:dyDescent="0.15"/>
    <row r="554" ht="21" customHeight="1" x14ac:dyDescent="0.15"/>
    <row r="555" ht="21" customHeight="1" x14ac:dyDescent="0.15"/>
    <row r="556" ht="21" customHeight="1" x14ac:dyDescent="0.15"/>
    <row r="557" ht="21" customHeight="1" x14ac:dyDescent="0.15"/>
    <row r="558" ht="21" customHeight="1" x14ac:dyDescent="0.15"/>
    <row r="559" ht="21" customHeight="1" x14ac:dyDescent="0.15"/>
    <row r="560" ht="21" customHeight="1" x14ac:dyDescent="0.15"/>
    <row r="561" ht="21" customHeight="1" x14ac:dyDescent="0.15"/>
    <row r="562" ht="21" customHeight="1" x14ac:dyDescent="0.15"/>
    <row r="563" ht="21" customHeight="1" x14ac:dyDescent="0.15"/>
    <row r="564" ht="21" customHeight="1" x14ac:dyDescent="0.15"/>
    <row r="565" ht="21" customHeight="1" x14ac:dyDescent="0.15"/>
    <row r="566" ht="21" customHeight="1" x14ac:dyDescent="0.15"/>
    <row r="567" ht="21" customHeight="1" x14ac:dyDescent="0.15"/>
    <row r="568" ht="21" customHeight="1" x14ac:dyDescent="0.15"/>
    <row r="569" ht="21" customHeight="1" x14ac:dyDescent="0.15"/>
    <row r="570" ht="21" customHeight="1" x14ac:dyDescent="0.15"/>
    <row r="571" ht="21" customHeight="1" x14ac:dyDescent="0.15"/>
    <row r="572" ht="21" customHeight="1" x14ac:dyDescent="0.15"/>
    <row r="573" ht="21" customHeight="1" x14ac:dyDescent="0.15"/>
    <row r="574" ht="21" customHeight="1" x14ac:dyDescent="0.15"/>
    <row r="575" ht="21" customHeight="1" x14ac:dyDescent="0.15"/>
    <row r="576" ht="21" customHeight="1" x14ac:dyDescent="0.15"/>
    <row r="577" ht="21" customHeight="1" x14ac:dyDescent="0.15"/>
    <row r="578" ht="21" customHeight="1" x14ac:dyDescent="0.15"/>
    <row r="579" ht="21" customHeight="1" x14ac:dyDescent="0.15"/>
    <row r="580" ht="21" customHeight="1" x14ac:dyDescent="0.15"/>
    <row r="581" ht="21" customHeight="1" x14ac:dyDescent="0.15"/>
    <row r="582" ht="21" customHeight="1" x14ac:dyDescent="0.15"/>
    <row r="583" ht="21" customHeight="1" x14ac:dyDescent="0.15"/>
    <row r="584" ht="21" customHeight="1" x14ac:dyDescent="0.15"/>
    <row r="585" ht="21" customHeight="1" x14ac:dyDescent="0.15"/>
    <row r="586" ht="21" customHeight="1" x14ac:dyDescent="0.15"/>
    <row r="587" ht="21" customHeight="1" x14ac:dyDescent="0.15"/>
    <row r="588" ht="21" customHeight="1" x14ac:dyDescent="0.15"/>
    <row r="589" ht="21" customHeight="1" x14ac:dyDescent="0.15"/>
    <row r="590" ht="21" customHeight="1" x14ac:dyDescent="0.15"/>
    <row r="591" ht="21" customHeight="1" x14ac:dyDescent="0.15"/>
    <row r="592" ht="21" customHeight="1" x14ac:dyDescent="0.15"/>
    <row r="593" ht="21" customHeight="1" x14ac:dyDescent="0.15"/>
    <row r="594" ht="21" customHeight="1" x14ac:dyDescent="0.15"/>
    <row r="595" ht="21" customHeight="1" x14ac:dyDescent="0.15"/>
    <row r="596" ht="21" customHeight="1" x14ac:dyDescent="0.15"/>
    <row r="597" ht="21" customHeight="1" x14ac:dyDescent="0.15"/>
    <row r="598" ht="21" customHeight="1" x14ac:dyDescent="0.15"/>
    <row r="599" ht="21" customHeight="1" x14ac:dyDescent="0.15"/>
    <row r="600" ht="21" customHeight="1" x14ac:dyDescent="0.15"/>
    <row r="601" ht="21" customHeight="1" x14ac:dyDescent="0.15"/>
    <row r="602" ht="21" customHeight="1" x14ac:dyDescent="0.15"/>
    <row r="603" ht="21" customHeight="1" x14ac:dyDescent="0.15"/>
    <row r="604" ht="21" customHeight="1" x14ac:dyDescent="0.15"/>
    <row r="605" ht="21" customHeight="1" x14ac:dyDescent="0.15"/>
    <row r="606" ht="21" customHeight="1" x14ac:dyDescent="0.15"/>
    <row r="607" ht="21" customHeight="1" x14ac:dyDescent="0.15"/>
    <row r="608" ht="21" customHeight="1" x14ac:dyDescent="0.15"/>
    <row r="609" ht="21" customHeight="1" x14ac:dyDescent="0.15"/>
    <row r="610" ht="21" customHeight="1" x14ac:dyDescent="0.15"/>
    <row r="611" ht="21" customHeight="1" x14ac:dyDescent="0.15"/>
    <row r="612" ht="21" customHeight="1" x14ac:dyDescent="0.15"/>
    <row r="613" ht="21" customHeight="1" x14ac:dyDescent="0.15"/>
    <row r="614" ht="21" customHeight="1" x14ac:dyDescent="0.15"/>
    <row r="615" ht="21" customHeight="1" x14ac:dyDescent="0.15"/>
    <row r="616" ht="21" customHeight="1" x14ac:dyDescent="0.15"/>
    <row r="617" ht="21" customHeight="1" x14ac:dyDescent="0.15"/>
    <row r="618" ht="21" customHeight="1" x14ac:dyDescent="0.15"/>
    <row r="619" ht="21" customHeight="1" x14ac:dyDescent="0.15"/>
    <row r="620" ht="21" customHeight="1" x14ac:dyDescent="0.15"/>
    <row r="621" ht="21" customHeight="1" x14ac:dyDescent="0.15"/>
    <row r="622" ht="21" customHeight="1" x14ac:dyDescent="0.15"/>
    <row r="623" ht="21" customHeight="1" x14ac:dyDescent="0.15"/>
    <row r="624" ht="21" customHeight="1" x14ac:dyDescent="0.15"/>
    <row r="625" ht="21" customHeight="1" x14ac:dyDescent="0.15"/>
    <row r="626" ht="21" customHeight="1" x14ac:dyDescent="0.15"/>
    <row r="627" ht="21" customHeight="1" x14ac:dyDescent="0.15"/>
    <row r="628" ht="21" customHeight="1" x14ac:dyDescent="0.15"/>
    <row r="629" ht="21" customHeight="1" x14ac:dyDescent="0.15"/>
    <row r="630" ht="21" customHeight="1" x14ac:dyDescent="0.15"/>
    <row r="631" ht="21" customHeight="1" x14ac:dyDescent="0.15"/>
    <row r="632" ht="21" customHeight="1" x14ac:dyDescent="0.15"/>
    <row r="633" ht="21" customHeight="1" x14ac:dyDescent="0.15"/>
    <row r="634" ht="21" customHeight="1" x14ac:dyDescent="0.15"/>
    <row r="635" ht="21" customHeight="1" x14ac:dyDescent="0.15"/>
    <row r="636" ht="21" customHeight="1" x14ac:dyDescent="0.15"/>
    <row r="637" ht="21" customHeight="1" x14ac:dyDescent="0.15"/>
    <row r="638" ht="21" customHeight="1" x14ac:dyDescent="0.15"/>
    <row r="639" ht="21" customHeight="1" x14ac:dyDescent="0.15"/>
    <row r="640" ht="21" customHeight="1" x14ac:dyDescent="0.15"/>
    <row r="641" ht="21" customHeight="1" x14ac:dyDescent="0.15"/>
    <row r="642" ht="21" customHeight="1" x14ac:dyDescent="0.15"/>
    <row r="643" ht="21" customHeight="1" x14ac:dyDescent="0.15"/>
    <row r="644" ht="21" customHeight="1" x14ac:dyDescent="0.15"/>
    <row r="645" ht="21" customHeight="1" x14ac:dyDescent="0.15"/>
    <row r="646" ht="21" customHeight="1" x14ac:dyDescent="0.15"/>
    <row r="647" ht="21" customHeight="1" x14ac:dyDescent="0.15"/>
    <row r="648" ht="21" customHeight="1" x14ac:dyDescent="0.15"/>
    <row r="649" ht="21" customHeight="1" x14ac:dyDescent="0.15"/>
    <row r="650" ht="21" customHeight="1" x14ac:dyDescent="0.15"/>
    <row r="651" ht="21" customHeight="1" x14ac:dyDescent="0.15"/>
    <row r="652" ht="21" customHeight="1" x14ac:dyDescent="0.15"/>
    <row r="653" ht="21" customHeight="1" x14ac:dyDescent="0.15"/>
    <row r="654" ht="21" customHeight="1" x14ac:dyDescent="0.15"/>
    <row r="655" ht="21" customHeight="1" x14ac:dyDescent="0.15"/>
    <row r="656" ht="21" customHeight="1" x14ac:dyDescent="0.15"/>
    <row r="657" ht="21" customHeight="1" x14ac:dyDescent="0.15"/>
    <row r="658" ht="21" customHeight="1" x14ac:dyDescent="0.15"/>
    <row r="659" ht="21" customHeight="1" x14ac:dyDescent="0.15"/>
    <row r="660" ht="21" customHeight="1" x14ac:dyDescent="0.15"/>
    <row r="661" ht="21" customHeight="1" x14ac:dyDescent="0.15"/>
    <row r="662" ht="21" customHeight="1" x14ac:dyDescent="0.15"/>
    <row r="663" ht="21" customHeight="1" x14ac:dyDescent="0.15"/>
    <row r="664" ht="21" customHeight="1" x14ac:dyDescent="0.15"/>
    <row r="665" ht="21" customHeight="1" x14ac:dyDescent="0.15"/>
    <row r="666" ht="21" customHeight="1" x14ac:dyDescent="0.15"/>
    <row r="667" ht="21" customHeight="1" x14ac:dyDescent="0.15"/>
    <row r="668" ht="21" customHeight="1" x14ac:dyDescent="0.15"/>
    <row r="669" ht="21" customHeight="1" x14ac:dyDescent="0.15"/>
    <row r="670" ht="21" customHeight="1" x14ac:dyDescent="0.15"/>
    <row r="671" ht="21" customHeight="1" x14ac:dyDescent="0.15"/>
    <row r="672" ht="21" customHeight="1" x14ac:dyDescent="0.15"/>
    <row r="673" ht="21" customHeight="1" x14ac:dyDescent="0.15"/>
    <row r="674" ht="21" customHeight="1" x14ac:dyDescent="0.15"/>
    <row r="675" ht="21" customHeight="1" x14ac:dyDescent="0.15"/>
    <row r="676" ht="21" customHeight="1" x14ac:dyDescent="0.15"/>
    <row r="677" ht="21" customHeight="1" x14ac:dyDescent="0.15"/>
    <row r="678" ht="21" customHeight="1" x14ac:dyDescent="0.15"/>
    <row r="679" ht="21" customHeight="1" x14ac:dyDescent="0.15"/>
    <row r="680" ht="21" customHeight="1" x14ac:dyDescent="0.15"/>
    <row r="681" ht="21" customHeight="1" x14ac:dyDescent="0.15"/>
    <row r="682" ht="21" customHeight="1" x14ac:dyDescent="0.15"/>
    <row r="683" ht="21" customHeight="1" x14ac:dyDescent="0.15"/>
    <row r="684" ht="21" customHeight="1" x14ac:dyDescent="0.15"/>
    <row r="685" ht="21" customHeight="1" x14ac:dyDescent="0.15"/>
    <row r="686" ht="21" customHeight="1" x14ac:dyDescent="0.15"/>
    <row r="687" ht="21" customHeight="1" x14ac:dyDescent="0.15"/>
    <row r="688" ht="21" customHeight="1" x14ac:dyDescent="0.15"/>
    <row r="689" ht="21" customHeight="1" x14ac:dyDescent="0.15"/>
    <row r="690" ht="21" customHeight="1" x14ac:dyDescent="0.15"/>
    <row r="691" ht="21" customHeight="1" x14ac:dyDescent="0.15"/>
    <row r="692" ht="21" customHeight="1" x14ac:dyDescent="0.15"/>
    <row r="693" ht="21" customHeight="1" x14ac:dyDescent="0.15"/>
    <row r="694" ht="21" customHeight="1" x14ac:dyDescent="0.15"/>
    <row r="695" ht="21" customHeight="1" x14ac:dyDescent="0.15"/>
    <row r="696" ht="21" customHeight="1" x14ac:dyDescent="0.15"/>
    <row r="697" ht="21" customHeight="1" x14ac:dyDescent="0.15"/>
    <row r="698" ht="21" customHeight="1" x14ac:dyDescent="0.15"/>
    <row r="699" ht="21" customHeight="1" x14ac:dyDescent="0.15"/>
    <row r="700" ht="21" customHeight="1" x14ac:dyDescent="0.15"/>
    <row r="701" ht="21" customHeight="1" x14ac:dyDescent="0.15"/>
    <row r="702" ht="21" customHeight="1" x14ac:dyDescent="0.15"/>
    <row r="703" ht="21" customHeight="1" x14ac:dyDescent="0.15"/>
    <row r="704" ht="21" customHeight="1" x14ac:dyDescent="0.15"/>
    <row r="705" ht="21" customHeight="1" x14ac:dyDescent="0.15"/>
    <row r="706" ht="21" customHeight="1" x14ac:dyDescent="0.15"/>
    <row r="707" ht="21" customHeight="1" x14ac:dyDescent="0.15"/>
    <row r="708" ht="21" customHeight="1" x14ac:dyDescent="0.15"/>
    <row r="709" ht="21" customHeight="1" x14ac:dyDescent="0.15"/>
    <row r="710" ht="21" customHeight="1" x14ac:dyDescent="0.15"/>
    <row r="711" ht="21" customHeight="1" x14ac:dyDescent="0.15"/>
    <row r="712" ht="21" customHeight="1" x14ac:dyDescent="0.15"/>
    <row r="713" ht="21" customHeight="1" x14ac:dyDescent="0.15"/>
    <row r="714" ht="21" customHeight="1" x14ac:dyDescent="0.15"/>
    <row r="715" ht="21" customHeight="1" x14ac:dyDescent="0.15"/>
    <row r="716" ht="21" customHeight="1" x14ac:dyDescent="0.15"/>
    <row r="717" ht="21" customHeight="1" x14ac:dyDescent="0.15"/>
    <row r="718" ht="21" customHeight="1" x14ac:dyDescent="0.15"/>
    <row r="719" ht="21" customHeight="1" x14ac:dyDescent="0.15"/>
    <row r="720" ht="21" customHeight="1" x14ac:dyDescent="0.15"/>
    <row r="721" ht="21" customHeight="1" x14ac:dyDescent="0.15"/>
    <row r="722" ht="21" customHeight="1" x14ac:dyDescent="0.15"/>
    <row r="723" ht="21" customHeight="1" x14ac:dyDescent="0.15"/>
    <row r="724" ht="21" customHeight="1" x14ac:dyDescent="0.15"/>
    <row r="725" ht="21" customHeight="1" x14ac:dyDescent="0.15"/>
    <row r="726" ht="21" customHeight="1" x14ac:dyDescent="0.15"/>
    <row r="727" ht="21" customHeight="1" x14ac:dyDescent="0.15"/>
    <row r="728" ht="21" customHeight="1" x14ac:dyDescent="0.15"/>
    <row r="729" ht="21" customHeight="1" x14ac:dyDescent="0.15"/>
    <row r="730" ht="21" customHeight="1" x14ac:dyDescent="0.15"/>
    <row r="731" ht="21" customHeight="1" x14ac:dyDescent="0.15"/>
    <row r="732" ht="21" customHeight="1" x14ac:dyDescent="0.15"/>
    <row r="733" ht="21" customHeight="1" x14ac:dyDescent="0.15"/>
    <row r="734" ht="21" customHeight="1" x14ac:dyDescent="0.15"/>
    <row r="735" ht="21" customHeight="1" x14ac:dyDescent="0.15"/>
    <row r="736" ht="21" customHeight="1" x14ac:dyDescent="0.15"/>
    <row r="737" ht="21" customHeight="1" x14ac:dyDescent="0.15"/>
    <row r="738" ht="21" customHeight="1" x14ac:dyDescent="0.15"/>
    <row r="739" ht="21" customHeight="1" x14ac:dyDescent="0.15"/>
    <row r="740" ht="21" customHeight="1" x14ac:dyDescent="0.15"/>
    <row r="741" ht="21" customHeight="1" x14ac:dyDescent="0.15"/>
    <row r="742" ht="21" customHeight="1" x14ac:dyDescent="0.15"/>
    <row r="743" ht="21" customHeight="1" x14ac:dyDescent="0.15"/>
    <row r="744" ht="21" customHeight="1" x14ac:dyDescent="0.15"/>
    <row r="745" ht="21" customHeight="1" x14ac:dyDescent="0.15"/>
    <row r="746" ht="21" customHeight="1" x14ac:dyDescent="0.15"/>
    <row r="747" ht="21" customHeight="1" x14ac:dyDescent="0.15"/>
    <row r="748" ht="21" customHeight="1" x14ac:dyDescent="0.15"/>
    <row r="749" ht="21" customHeight="1" x14ac:dyDescent="0.15"/>
    <row r="750" ht="21" customHeight="1" x14ac:dyDescent="0.15"/>
    <row r="751" ht="21" customHeight="1" x14ac:dyDescent="0.15"/>
    <row r="752" ht="21" customHeight="1" x14ac:dyDescent="0.15"/>
    <row r="753" ht="21" customHeight="1" x14ac:dyDescent="0.15"/>
    <row r="754" ht="21" customHeight="1" x14ac:dyDescent="0.15"/>
    <row r="755" ht="21" customHeight="1" x14ac:dyDescent="0.15"/>
    <row r="756" ht="21" customHeight="1" x14ac:dyDescent="0.15"/>
    <row r="757" ht="21" customHeight="1" x14ac:dyDescent="0.15"/>
    <row r="758" ht="21" customHeight="1" x14ac:dyDescent="0.15"/>
    <row r="759" ht="21" customHeight="1" x14ac:dyDescent="0.15"/>
    <row r="760" ht="21" customHeight="1" x14ac:dyDescent="0.15"/>
    <row r="761" ht="21" customHeight="1" x14ac:dyDescent="0.15"/>
    <row r="762" ht="21" customHeight="1" x14ac:dyDescent="0.15"/>
    <row r="763" ht="21" customHeight="1" x14ac:dyDescent="0.15"/>
    <row r="764" ht="21" customHeight="1" x14ac:dyDescent="0.15"/>
    <row r="765" ht="21" customHeight="1" x14ac:dyDescent="0.15"/>
    <row r="766" ht="21" customHeight="1" x14ac:dyDescent="0.15"/>
    <row r="767" ht="21" customHeight="1" x14ac:dyDescent="0.15"/>
    <row r="768" ht="21" customHeight="1" x14ac:dyDescent="0.15"/>
    <row r="769" ht="21" customHeight="1" x14ac:dyDescent="0.15"/>
    <row r="770" ht="21" customHeight="1" x14ac:dyDescent="0.15"/>
    <row r="771" ht="21" customHeight="1" x14ac:dyDescent="0.15"/>
    <row r="772" ht="21" customHeight="1" x14ac:dyDescent="0.15"/>
    <row r="773" ht="21" customHeight="1" x14ac:dyDescent="0.15"/>
    <row r="774" ht="21" customHeight="1" x14ac:dyDescent="0.15"/>
    <row r="775" ht="21" customHeight="1" x14ac:dyDescent="0.15"/>
    <row r="776" ht="21" customHeight="1" x14ac:dyDescent="0.15"/>
    <row r="777" ht="21" customHeight="1" x14ac:dyDescent="0.15"/>
    <row r="778" ht="21" customHeight="1" x14ac:dyDescent="0.15"/>
    <row r="779" ht="21" customHeight="1" x14ac:dyDescent="0.15"/>
    <row r="780" ht="21" customHeight="1" x14ac:dyDescent="0.15"/>
    <row r="781" ht="21" customHeight="1" x14ac:dyDescent="0.15"/>
    <row r="782" ht="21" customHeight="1" x14ac:dyDescent="0.15"/>
    <row r="783" ht="21" customHeight="1" x14ac:dyDescent="0.15"/>
    <row r="784" ht="21" customHeight="1" x14ac:dyDescent="0.15"/>
    <row r="785" ht="21" customHeight="1" x14ac:dyDescent="0.15"/>
    <row r="786" ht="21" customHeight="1" x14ac:dyDescent="0.15"/>
    <row r="787" ht="21" customHeight="1" x14ac:dyDescent="0.15"/>
    <row r="788" ht="21" customHeight="1" x14ac:dyDescent="0.15"/>
    <row r="789" ht="21" customHeight="1" x14ac:dyDescent="0.15"/>
    <row r="790" ht="21" customHeight="1" x14ac:dyDescent="0.15"/>
    <row r="791" ht="21" customHeight="1" x14ac:dyDescent="0.15"/>
    <row r="792" ht="21" customHeight="1" x14ac:dyDescent="0.15"/>
    <row r="793" ht="21" customHeight="1" x14ac:dyDescent="0.15"/>
    <row r="794" ht="21" customHeight="1" x14ac:dyDescent="0.15"/>
    <row r="795" ht="21" customHeight="1" x14ac:dyDescent="0.15"/>
    <row r="796" ht="21" customHeight="1" x14ac:dyDescent="0.15"/>
    <row r="797" ht="21" customHeight="1" x14ac:dyDescent="0.15"/>
    <row r="798" ht="21" customHeight="1" x14ac:dyDescent="0.15"/>
    <row r="799" ht="21" customHeight="1" x14ac:dyDescent="0.15"/>
    <row r="800" ht="21" customHeight="1" x14ac:dyDescent="0.15"/>
    <row r="801" ht="21" customHeight="1" x14ac:dyDescent="0.15"/>
    <row r="802" ht="21" customHeight="1" x14ac:dyDescent="0.15"/>
    <row r="803" ht="21" customHeight="1" x14ac:dyDescent="0.15"/>
    <row r="804" ht="21" customHeight="1" x14ac:dyDescent="0.15"/>
    <row r="805" ht="21" customHeight="1" x14ac:dyDescent="0.15"/>
    <row r="806" ht="21" customHeight="1" x14ac:dyDescent="0.15"/>
    <row r="807" ht="21" customHeight="1" x14ac:dyDescent="0.15"/>
    <row r="808" ht="21" customHeight="1" x14ac:dyDescent="0.15"/>
    <row r="809" ht="21" customHeight="1" x14ac:dyDescent="0.15"/>
    <row r="810" ht="21" customHeight="1" x14ac:dyDescent="0.15"/>
    <row r="811" ht="21" customHeight="1" x14ac:dyDescent="0.15"/>
    <row r="812" ht="21" customHeight="1" x14ac:dyDescent="0.15"/>
    <row r="813" ht="21" customHeight="1" x14ac:dyDescent="0.15"/>
    <row r="814" ht="21" customHeight="1" x14ac:dyDescent="0.15"/>
    <row r="815" ht="21" customHeight="1" x14ac:dyDescent="0.15"/>
    <row r="816" ht="21" customHeight="1" x14ac:dyDescent="0.15"/>
    <row r="817" ht="21" customHeight="1" x14ac:dyDescent="0.15"/>
    <row r="818" ht="21" customHeight="1" x14ac:dyDescent="0.15"/>
    <row r="819" ht="21" customHeight="1" x14ac:dyDescent="0.15"/>
    <row r="820" ht="21" customHeight="1" x14ac:dyDescent="0.15"/>
    <row r="821" ht="21" customHeight="1" x14ac:dyDescent="0.15"/>
    <row r="822" ht="21" customHeight="1" x14ac:dyDescent="0.15"/>
    <row r="823" ht="21" customHeight="1" x14ac:dyDescent="0.15"/>
    <row r="824" ht="21" customHeight="1" x14ac:dyDescent="0.15"/>
    <row r="825" ht="21" customHeight="1" x14ac:dyDescent="0.15"/>
    <row r="826" ht="21" customHeight="1" x14ac:dyDescent="0.15"/>
    <row r="827" ht="21" customHeight="1" x14ac:dyDescent="0.15"/>
    <row r="828" ht="21" customHeight="1" x14ac:dyDescent="0.15"/>
    <row r="829" ht="21" customHeight="1" x14ac:dyDescent="0.15"/>
    <row r="830" ht="21" customHeight="1" x14ac:dyDescent="0.15"/>
    <row r="831" ht="21" customHeight="1" x14ac:dyDescent="0.15"/>
    <row r="832" ht="21" customHeight="1" x14ac:dyDescent="0.15"/>
    <row r="833" ht="21" customHeight="1" x14ac:dyDescent="0.15"/>
    <row r="834" ht="21" customHeight="1" x14ac:dyDescent="0.15"/>
    <row r="835" ht="21" customHeight="1" x14ac:dyDescent="0.15"/>
    <row r="836" ht="21" customHeight="1" x14ac:dyDescent="0.15"/>
    <row r="837" ht="21" customHeight="1" x14ac:dyDescent="0.15"/>
    <row r="838" ht="21" customHeight="1" x14ac:dyDescent="0.15"/>
    <row r="839" ht="21" customHeight="1" x14ac:dyDescent="0.15"/>
    <row r="840" ht="21" customHeight="1" x14ac:dyDescent="0.15"/>
    <row r="841" ht="21" customHeight="1" x14ac:dyDescent="0.15"/>
    <row r="842" ht="21" customHeight="1" x14ac:dyDescent="0.15"/>
    <row r="843" ht="21" customHeight="1" x14ac:dyDescent="0.15"/>
    <row r="844" ht="21" customHeight="1" x14ac:dyDescent="0.15"/>
    <row r="845" ht="21" customHeight="1" x14ac:dyDescent="0.15"/>
    <row r="846" ht="21" customHeight="1" x14ac:dyDescent="0.15"/>
    <row r="847" ht="21" customHeight="1" x14ac:dyDescent="0.15"/>
    <row r="848" ht="21" customHeight="1" x14ac:dyDescent="0.15"/>
    <row r="849" ht="21" customHeight="1" x14ac:dyDescent="0.15"/>
    <row r="850" ht="21" customHeight="1" x14ac:dyDescent="0.15"/>
    <row r="851" ht="21" customHeight="1" x14ac:dyDescent="0.15"/>
    <row r="852" ht="21" customHeight="1" x14ac:dyDescent="0.15"/>
    <row r="853" ht="21" customHeight="1" x14ac:dyDescent="0.15"/>
    <row r="854" ht="21" customHeight="1" x14ac:dyDescent="0.15"/>
    <row r="855" ht="21" customHeight="1" x14ac:dyDescent="0.15"/>
    <row r="856" ht="21" customHeight="1" x14ac:dyDescent="0.15"/>
    <row r="857" ht="21" customHeight="1" x14ac:dyDescent="0.15"/>
    <row r="858" ht="21" customHeight="1" x14ac:dyDescent="0.15"/>
    <row r="859" ht="21" customHeight="1" x14ac:dyDescent="0.15"/>
    <row r="860" ht="21" customHeight="1" x14ac:dyDescent="0.15"/>
    <row r="861" ht="21" customHeight="1" x14ac:dyDescent="0.15"/>
    <row r="862" ht="21" customHeight="1" x14ac:dyDescent="0.15"/>
    <row r="863" ht="21" customHeight="1" x14ac:dyDescent="0.15"/>
    <row r="864" ht="21" customHeight="1" x14ac:dyDescent="0.15"/>
    <row r="865" ht="21" customHeight="1" x14ac:dyDescent="0.15"/>
    <row r="866" ht="21" customHeight="1" x14ac:dyDescent="0.15"/>
    <row r="867" ht="21" customHeight="1" x14ac:dyDescent="0.15"/>
    <row r="868" ht="21" customHeight="1" x14ac:dyDescent="0.15"/>
    <row r="869" ht="21" customHeight="1" x14ac:dyDescent="0.15"/>
    <row r="870" ht="21" customHeight="1" x14ac:dyDescent="0.15"/>
    <row r="871" ht="21" customHeight="1" x14ac:dyDescent="0.15"/>
    <row r="872" ht="21" customHeight="1" x14ac:dyDescent="0.15"/>
    <row r="873" ht="21" customHeight="1" x14ac:dyDescent="0.15"/>
    <row r="874" ht="21" customHeight="1" x14ac:dyDescent="0.15"/>
    <row r="875" ht="21" customHeight="1" x14ac:dyDescent="0.15"/>
    <row r="876" ht="21" customHeight="1" x14ac:dyDescent="0.15"/>
    <row r="877" ht="21" customHeight="1" x14ac:dyDescent="0.15"/>
    <row r="878" ht="21" customHeight="1" x14ac:dyDescent="0.15"/>
    <row r="879" ht="21" customHeight="1" x14ac:dyDescent="0.15"/>
    <row r="880" ht="21" customHeight="1" x14ac:dyDescent="0.15"/>
    <row r="881" ht="21" customHeight="1" x14ac:dyDescent="0.15"/>
    <row r="882" ht="21" customHeight="1" x14ac:dyDescent="0.15"/>
    <row r="883" ht="21" customHeight="1" x14ac:dyDescent="0.15"/>
    <row r="884" ht="21" customHeight="1" x14ac:dyDescent="0.15"/>
    <row r="885" ht="21" customHeight="1" x14ac:dyDescent="0.15"/>
    <row r="886" ht="21" customHeight="1" x14ac:dyDescent="0.15"/>
    <row r="887" ht="21" customHeight="1" x14ac:dyDescent="0.15"/>
    <row r="888" ht="21" customHeight="1" x14ac:dyDescent="0.15"/>
    <row r="889" ht="21" customHeight="1" x14ac:dyDescent="0.15"/>
    <row r="890" ht="21" customHeight="1" x14ac:dyDescent="0.15"/>
    <row r="891" ht="21" customHeight="1" x14ac:dyDescent="0.15"/>
    <row r="892" ht="21" customHeight="1" x14ac:dyDescent="0.15"/>
    <row r="893" ht="21" customHeight="1" x14ac:dyDescent="0.15"/>
    <row r="894" ht="21" customHeight="1" x14ac:dyDescent="0.15"/>
    <row r="895" ht="21" customHeight="1" x14ac:dyDescent="0.15"/>
    <row r="896" ht="21" customHeight="1" x14ac:dyDescent="0.15"/>
    <row r="897" ht="21" customHeight="1" x14ac:dyDescent="0.15"/>
    <row r="898" ht="21" customHeight="1" x14ac:dyDescent="0.15"/>
    <row r="899" ht="21" customHeight="1" x14ac:dyDescent="0.15"/>
    <row r="900" ht="21" customHeight="1" x14ac:dyDescent="0.15"/>
    <row r="901" ht="21" customHeight="1" x14ac:dyDescent="0.15"/>
    <row r="902" ht="21" customHeight="1" x14ac:dyDescent="0.15"/>
    <row r="903" ht="21" customHeight="1" x14ac:dyDescent="0.15"/>
    <row r="904" ht="21" customHeight="1" x14ac:dyDescent="0.15"/>
    <row r="905" ht="21" customHeight="1" x14ac:dyDescent="0.15"/>
    <row r="906" ht="21" customHeight="1" x14ac:dyDescent="0.15"/>
    <row r="907" ht="21" customHeight="1" x14ac:dyDescent="0.15"/>
    <row r="908" ht="21" customHeight="1" x14ac:dyDescent="0.15"/>
    <row r="909" ht="21" customHeight="1" x14ac:dyDescent="0.15"/>
    <row r="910" ht="21" customHeight="1" x14ac:dyDescent="0.15"/>
    <row r="911" ht="21" customHeight="1" x14ac:dyDescent="0.15"/>
    <row r="912" ht="21" customHeight="1" x14ac:dyDescent="0.15"/>
    <row r="913" ht="21" customHeight="1" x14ac:dyDescent="0.15"/>
    <row r="914" ht="21" customHeight="1" x14ac:dyDescent="0.15"/>
    <row r="915" ht="21" customHeight="1" x14ac:dyDescent="0.15"/>
    <row r="916" ht="21" customHeight="1" x14ac:dyDescent="0.15"/>
    <row r="917" ht="21" customHeight="1" x14ac:dyDescent="0.15"/>
    <row r="918" ht="21" customHeight="1" x14ac:dyDescent="0.15"/>
    <row r="919" ht="21" customHeight="1" x14ac:dyDescent="0.15"/>
    <row r="920" ht="21" customHeight="1" x14ac:dyDescent="0.15"/>
    <row r="921" ht="21" customHeight="1" x14ac:dyDescent="0.15"/>
    <row r="922" ht="21" customHeight="1" x14ac:dyDescent="0.15"/>
    <row r="923" ht="21" customHeight="1" x14ac:dyDescent="0.15"/>
    <row r="924" ht="21" customHeight="1" x14ac:dyDescent="0.15"/>
    <row r="925" ht="21" customHeight="1" x14ac:dyDescent="0.15"/>
    <row r="926" ht="21" customHeight="1" x14ac:dyDescent="0.15"/>
    <row r="927" ht="21" customHeight="1" x14ac:dyDescent="0.15"/>
    <row r="928" ht="21" customHeight="1" x14ac:dyDescent="0.15"/>
    <row r="929" ht="21" customHeight="1" x14ac:dyDescent="0.15"/>
    <row r="930" ht="21" customHeight="1" x14ac:dyDescent="0.15"/>
    <row r="931" ht="21" customHeight="1" x14ac:dyDescent="0.15"/>
    <row r="932" ht="21" customHeight="1" x14ac:dyDescent="0.15"/>
    <row r="933" ht="21" customHeight="1" x14ac:dyDescent="0.15"/>
    <row r="934" ht="21" customHeight="1" x14ac:dyDescent="0.15"/>
    <row r="935" ht="21" customHeight="1" x14ac:dyDescent="0.15"/>
    <row r="936" ht="21" customHeight="1" x14ac:dyDescent="0.15"/>
    <row r="937" ht="21" customHeight="1" x14ac:dyDescent="0.15"/>
    <row r="938" ht="21" customHeight="1" x14ac:dyDescent="0.15"/>
    <row r="939" ht="21" customHeight="1" x14ac:dyDescent="0.15"/>
    <row r="940" ht="21" customHeight="1" x14ac:dyDescent="0.15"/>
    <row r="941" ht="21" customHeight="1" x14ac:dyDescent="0.15"/>
    <row r="942" ht="21" customHeight="1" x14ac:dyDescent="0.15"/>
    <row r="943" ht="21" customHeight="1" x14ac:dyDescent="0.15"/>
    <row r="944" ht="21" customHeight="1" x14ac:dyDescent="0.15"/>
    <row r="945" ht="21" customHeight="1" x14ac:dyDescent="0.15"/>
    <row r="946" ht="21" customHeight="1" x14ac:dyDescent="0.15"/>
    <row r="947" ht="21" customHeight="1" x14ac:dyDescent="0.15"/>
    <row r="948" ht="21" customHeight="1" x14ac:dyDescent="0.15"/>
    <row r="949" ht="21" customHeight="1" x14ac:dyDescent="0.15"/>
    <row r="950" ht="21" customHeight="1" x14ac:dyDescent="0.15"/>
    <row r="951" ht="21" customHeight="1" x14ac:dyDescent="0.15"/>
    <row r="952" ht="21" customHeight="1" x14ac:dyDescent="0.15"/>
    <row r="953" ht="21" customHeight="1" x14ac:dyDescent="0.15"/>
    <row r="954" ht="21" customHeight="1" x14ac:dyDescent="0.15"/>
    <row r="955" ht="21" customHeight="1" x14ac:dyDescent="0.15"/>
    <row r="956" ht="21" customHeight="1" x14ac:dyDescent="0.15"/>
    <row r="957" ht="21" customHeight="1" x14ac:dyDescent="0.15"/>
    <row r="958" ht="21" customHeight="1" x14ac:dyDescent="0.15"/>
    <row r="959" ht="21" customHeight="1" x14ac:dyDescent="0.15"/>
    <row r="960" ht="21" customHeight="1" x14ac:dyDescent="0.15"/>
    <row r="961" ht="21" customHeight="1" x14ac:dyDescent="0.15"/>
    <row r="962" ht="21" customHeight="1" x14ac:dyDescent="0.15"/>
    <row r="963" ht="21" customHeight="1" x14ac:dyDescent="0.15"/>
    <row r="964" ht="21" customHeight="1" x14ac:dyDescent="0.15"/>
    <row r="965" ht="21" customHeight="1" x14ac:dyDescent="0.15"/>
    <row r="966" ht="21" customHeight="1" x14ac:dyDescent="0.15"/>
    <row r="967" ht="21" customHeight="1" x14ac:dyDescent="0.15"/>
    <row r="968" ht="21" customHeight="1" x14ac:dyDescent="0.15"/>
    <row r="969" ht="21" customHeight="1" x14ac:dyDescent="0.15"/>
    <row r="970" ht="21" customHeight="1" x14ac:dyDescent="0.15"/>
    <row r="971" ht="21" customHeight="1" x14ac:dyDescent="0.15"/>
    <row r="972" ht="21" customHeight="1" x14ac:dyDescent="0.15"/>
    <row r="973" ht="21" customHeight="1" x14ac:dyDescent="0.15"/>
    <row r="974" ht="21" customHeight="1" x14ac:dyDescent="0.15"/>
    <row r="975" ht="21" customHeight="1" x14ac:dyDescent="0.15"/>
    <row r="976" ht="21" customHeight="1" x14ac:dyDescent="0.15"/>
    <row r="977" ht="21" customHeight="1" x14ac:dyDescent="0.15"/>
    <row r="978" ht="21" customHeight="1" x14ac:dyDescent="0.15"/>
    <row r="979" ht="21" customHeight="1" x14ac:dyDescent="0.15"/>
    <row r="980" ht="21" customHeight="1" x14ac:dyDescent="0.15"/>
    <row r="981" ht="21" customHeight="1" x14ac:dyDescent="0.15"/>
    <row r="982" ht="21" customHeight="1" x14ac:dyDescent="0.15"/>
    <row r="983" ht="21" customHeight="1" x14ac:dyDescent="0.15"/>
    <row r="984" ht="21" customHeight="1" x14ac:dyDescent="0.15"/>
    <row r="985" ht="21" customHeight="1" x14ac:dyDescent="0.15"/>
    <row r="986" ht="21" customHeight="1" x14ac:dyDescent="0.15"/>
    <row r="987" ht="21" customHeight="1" x14ac:dyDescent="0.15"/>
    <row r="988" ht="21" customHeight="1" x14ac:dyDescent="0.15"/>
    <row r="989" ht="21" customHeight="1" x14ac:dyDescent="0.15"/>
    <row r="990" ht="21" customHeight="1" x14ac:dyDescent="0.15"/>
    <row r="991" ht="21" customHeight="1" x14ac:dyDescent="0.15"/>
    <row r="992" ht="21" customHeight="1" x14ac:dyDescent="0.15"/>
    <row r="993" ht="21" customHeight="1" x14ac:dyDescent="0.15"/>
    <row r="994" ht="21" customHeight="1" x14ac:dyDescent="0.15"/>
    <row r="995" ht="21" customHeight="1" x14ac:dyDescent="0.15"/>
    <row r="996" ht="21" customHeight="1" x14ac:dyDescent="0.15"/>
    <row r="997" ht="21" customHeight="1" x14ac:dyDescent="0.15"/>
    <row r="998" ht="21" customHeight="1" x14ac:dyDescent="0.15"/>
    <row r="999" ht="21" customHeight="1" x14ac:dyDescent="0.15"/>
    <row r="1000" ht="21" customHeight="1" x14ac:dyDescent="0.15"/>
  </sheetData>
  <mergeCells count="3">
    <mergeCell ref="A1:G1"/>
    <mergeCell ref="A3:H3"/>
    <mergeCell ref="A11:H11"/>
  </mergeCells>
  <hyperlinks>
    <hyperlink ref="G4" r:id="rId1" display="mailto:trungdt@hnue.edu.vn" xr:uid="{00000000-0004-0000-0500-000000000000}"/>
    <hyperlink ref="G5" r:id="rId2" display="mailto:hangpt@hnue.edu.vn" xr:uid="{00000000-0004-0000-0500-000001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selection activeCell="G19" sqref="G19"/>
    </sheetView>
  </sheetViews>
  <sheetFormatPr baseColWidth="10" defaultColWidth="12.6640625" defaultRowHeight="14" x14ac:dyDescent="0.15"/>
  <cols>
    <col min="1" max="1" width="4.1640625" customWidth="1"/>
    <col min="2" max="2" width="11.5" customWidth="1"/>
    <col min="3" max="3" width="15.6640625" customWidth="1"/>
    <col min="4" max="4" width="13.83203125" customWidth="1"/>
    <col min="5" max="5" width="16.83203125" customWidth="1"/>
    <col min="6" max="6" width="49.6640625" customWidth="1"/>
    <col min="7" max="7" width="10" customWidth="1"/>
    <col min="8" max="8" width="11.6640625" customWidth="1"/>
    <col min="9" max="9" width="15.1640625" customWidth="1"/>
    <col min="10" max="10" width="19.5" customWidth="1"/>
    <col min="11" max="11" width="22" customWidth="1"/>
    <col min="12" max="26" width="8.83203125" customWidth="1"/>
  </cols>
  <sheetData>
    <row r="1" spans="1:26" ht="17" customHeight="1" x14ac:dyDescent="0.15">
      <c r="A1" s="99"/>
      <c r="B1" s="100"/>
      <c r="C1" s="101"/>
      <c r="D1" s="102"/>
      <c r="E1" s="103"/>
      <c r="F1" s="104"/>
      <c r="G1" s="105"/>
      <c r="H1" s="106"/>
      <c r="I1" s="106"/>
      <c r="J1" s="107"/>
      <c r="K1" s="10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7" customHeight="1" x14ac:dyDescent="0.25">
      <c r="A2" s="109"/>
      <c r="B2" s="10"/>
      <c r="C2" s="110"/>
      <c r="D2" s="111"/>
      <c r="E2" s="112"/>
      <c r="F2" s="113" t="s">
        <v>391</v>
      </c>
      <c r="G2" s="10"/>
      <c r="H2" s="114"/>
      <c r="I2" s="114"/>
      <c r="J2" s="115"/>
      <c r="K2" s="116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39" customHeight="1" x14ac:dyDescent="4.7">
      <c r="A3" s="109"/>
      <c r="B3" s="10"/>
      <c r="C3" s="110"/>
      <c r="D3" s="111"/>
      <c r="E3" s="112"/>
      <c r="F3" s="293" t="s">
        <v>52</v>
      </c>
      <c r="G3" s="294"/>
      <c r="H3" s="295"/>
      <c r="I3" s="296" t="s">
        <v>53</v>
      </c>
      <c r="J3" s="244"/>
      <c r="K3" s="117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7" customHeight="1" x14ac:dyDescent="0.15">
      <c r="A4" s="109"/>
      <c r="B4" s="10"/>
      <c r="C4" s="110"/>
      <c r="D4" s="111"/>
      <c r="E4" s="118"/>
      <c r="F4" s="119"/>
      <c r="G4" s="120"/>
      <c r="H4" s="121"/>
      <c r="I4" s="122" t="s">
        <v>54</v>
      </c>
      <c r="J4" s="123" t="s">
        <v>55</v>
      </c>
      <c r="K4" s="124">
        <f t="shared" ref="K4:K9" si="0">COUNTIF(G13:G200,J4)</f>
        <v>5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7" customHeight="1" x14ac:dyDescent="0.15">
      <c r="A5" s="109"/>
      <c r="B5" s="10"/>
      <c r="C5" s="110"/>
      <c r="D5" s="111"/>
      <c r="E5" s="118"/>
      <c r="F5" s="125" t="s">
        <v>392</v>
      </c>
      <c r="G5" s="126"/>
      <c r="H5" s="127"/>
      <c r="I5" s="122" t="s">
        <v>56</v>
      </c>
      <c r="J5" s="128" t="s">
        <v>57</v>
      </c>
      <c r="K5" s="124">
        <f t="shared" si="0"/>
        <v>2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7" customHeight="1" x14ac:dyDescent="0.15">
      <c r="A6" s="109"/>
      <c r="B6" s="10"/>
      <c r="C6" s="110"/>
      <c r="D6" s="111"/>
      <c r="E6" s="119"/>
      <c r="F6" s="125" t="s">
        <v>393</v>
      </c>
      <c r="G6" s="126"/>
      <c r="H6" s="127"/>
      <c r="I6" s="122" t="s">
        <v>58</v>
      </c>
      <c r="J6" s="129" t="s">
        <v>59</v>
      </c>
      <c r="K6" s="124">
        <f t="shared" si="0"/>
        <v>0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7" customHeight="1" x14ac:dyDescent="0.15">
      <c r="A7" s="109"/>
      <c r="B7" s="10"/>
      <c r="C7" s="110"/>
      <c r="D7" s="111"/>
      <c r="E7" s="119"/>
      <c r="F7" s="125" t="s">
        <v>394</v>
      </c>
      <c r="G7" s="126"/>
      <c r="H7" s="127"/>
      <c r="I7" s="122" t="s">
        <v>60</v>
      </c>
      <c r="J7" s="130" t="s">
        <v>61</v>
      </c>
      <c r="K7" s="124">
        <f t="shared" si="0"/>
        <v>0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7" customHeight="1" x14ac:dyDescent="0.15">
      <c r="A8" s="109"/>
      <c r="B8" s="10"/>
      <c r="C8" s="110"/>
      <c r="D8" s="111"/>
      <c r="E8" s="119"/>
      <c r="F8" s="118" t="s">
        <v>395</v>
      </c>
      <c r="G8" s="131"/>
      <c r="H8" s="127"/>
      <c r="I8" s="122" t="s">
        <v>62</v>
      </c>
      <c r="J8" s="132" t="s">
        <v>63</v>
      </c>
      <c r="K8" s="124">
        <f t="shared" si="0"/>
        <v>0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7" customHeight="1" x14ac:dyDescent="0.15">
      <c r="A9" s="133"/>
      <c r="B9" s="134"/>
      <c r="C9" s="135"/>
      <c r="D9" s="136"/>
      <c r="E9" s="137"/>
      <c r="F9" s="138"/>
      <c r="G9" s="131"/>
      <c r="H9" s="127"/>
      <c r="I9" s="122" t="s">
        <v>64</v>
      </c>
      <c r="J9" s="139" t="s">
        <v>65</v>
      </c>
      <c r="K9" s="140">
        <f t="shared" si="0"/>
        <v>0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7" customHeight="1" x14ac:dyDescent="0.15">
      <c r="A10" s="10"/>
      <c r="B10" s="10"/>
      <c r="C10" s="110"/>
      <c r="D10" s="111"/>
      <c r="E10" s="119"/>
      <c r="F10" s="118"/>
      <c r="G10" s="141"/>
      <c r="H10" s="127"/>
      <c r="I10" s="127"/>
      <c r="J10" s="142"/>
      <c r="K10" s="143">
        <f>SUM(K4:K9)</f>
        <v>7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7" customHeight="1" x14ac:dyDescent="0.15">
      <c r="A11" s="134"/>
      <c r="B11" s="134"/>
      <c r="C11" s="135"/>
      <c r="D11" s="136"/>
      <c r="E11" s="137"/>
      <c r="F11" s="138"/>
      <c r="G11" s="144"/>
      <c r="H11" s="145"/>
      <c r="I11" s="145"/>
      <c r="J11" s="146"/>
      <c r="K11" s="147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7" customHeight="1" x14ac:dyDescent="0.15">
      <c r="A12" s="148" t="s">
        <v>66</v>
      </c>
      <c r="B12" s="149" t="s">
        <v>67</v>
      </c>
      <c r="C12" s="149" t="s">
        <v>68</v>
      </c>
      <c r="D12" s="148" t="s">
        <v>69</v>
      </c>
      <c r="E12" s="149" t="s">
        <v>70</v>
      </c>
      <c r="F12" s="149" t="s">
        <v>71</v>
      </c>
      <c r="G12" s="149" t="s">
        <v>72</v>
      </c>
      <c r="H12" s="150" t="s">
        <v>73</v>
      </c>
      <c r="I12" s="151" t="s">
        <v>74</v>
      </c>
      <c r="J12" s="149" t="s">
        <v>75</v>
      </c>
      <c r="K12" s="152" t="s">
        <v>76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7" customHeight="1" x14ac:dyDescent="0.15">
      <c r="A13" s="222">
        <v>1</v>
      </c>
      <c r="B13" s="223">
        <v>46217</v>
      </c>
      <c r="C13" s="153" t="s">
        <v>396</v>
      </c>
      <c r="D13" s="153" t="s">
        <v>397</v>
      </c>
      <c r="E13" s="154" t="s">
        <v>398</v>
      </c>
      <c r="F13" s="154" t="s">
        <v>399</v>
      </c>
      <c r="G13" s="155" t="s">
        <v>59</v>
      </c>
      <c r="H13" s="223">
        <v>46217</v>
      </c>
      <c r="I13" s="223"/>
      <c r="J13" s="154" t="s">
        <v>132</v>
      </c>
      <c r="K13" s="154" t="s">
        <v>400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7" customHeight="1" x14ac:dyDescent="0.15">
      <c r="A14" s="222">
        <f t="shared" ref="A14:A19" si="1">A13+1</f>
        <v>2</v>
      </c>
      <c r="B14" s="223">
        <v>46217</v>
      </c>
      <c r="C14" s="153" t="s">
        <v>396</v>
      </c>
      <c r="D14" s="153" t="s">
        <v>401</v>
      </c>
      <c r="E14" s="154" t="s">
        <v>402</v>
      </c>
      <c r="F14" s="156" t="s">
        <v>403</v>
      </c>
      <c r="G14" s="155" t="s">
        <v>57</v>
      </c>
      <c r="H14" s="223">
        <v>46226</v>
      </c>
      <c r="I14" s="224"/>
      <c r="J14" s="154" t="s">
        <v>135</v>
      </c>
      <c r="K14" s="154" t="s">
        <v>404</v>
      </c>
      <c r="L14" s="109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7" customHeight="1" x14ac:dyDescent="0.15">
      <c r="A15" s="222">
        <f t="shared" si="1"/>
        <v>3</v>
      </c>
      <c r="B15" s="223">
        <v>46217</v>
      </c>
      <c r="C15" s="153" t="s">
        <v>396</v>
      </c>
      <c r="D15" s="153" t="s">
        <v>405</v>
      </c>
      <c r="E15" s="154" t="s">
        <v>406</v>
      </c>
      <c r="F15" s="156" t="s">
        <v>407</v>
      </c>
      <c r="G15" s="155" t="s">
        <v>57</v>
      </c>
      <c r="H15" s="223">
        <v>46227</v>
      </c>
      <c r="I15" s="223"/>
      <c r="J15" s="154" t="s">
        <v>138</v>
      </c>
      <c r="K15" s="154" t="s">
        <v>408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7" customHeight="1" x14ac:dyDescent="0.15">
      <c r="A16" s="222">
        <f t="shared" si="1"/>
        <v>4</v>
      </c>
      <c r="B16" s="223">
        <v>46217</v>
      </c>
      <c r="C16" s="153" t="s">
        <v>396</v>
      </c>
      <c r="D16" s="153" t="s">
        <v>409</v>
      </c>
      <c r="E16" s="154" t="s">
        <v>410</v>
      </c>
      <c r="F16" s="157" t="s">
        <v>411</v>
      </c>
      <c r="G16" s="155" t="s">
        <v>55</v>
      </c>
      <c r="H16" s="223">
        <v>46234</v>
      </c>
      <c r="I16" s="223"/>
      <c r="J16" s="154" t="s">
        <v>175</v>
      </c>
      <c r="K16" s="154" t="s">
        <v>412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7" customHeight="1" x14ac:dyDescent="0.15">
      <c r="A17" s="222">
        <f t="shared" si="1"/>
        <v>5</v>
      </c>
      <c r="B17" s="223">
        <v>46217</v>
      </c>
      <c r="C17" s="153" t="s">
        <v>413</v>
      </c>
      <c r="D17" s="153" t="s">
        <v>414</v>
      </c>
      <c r="E17" s="154" t="s">
        <v>415</v>
      </c>
      <c r="F17" s="157" t="s">
        <v>416</v>
      </c>
      <c r="G17" s="153" t="s">
        <v>55</v>
      </c>
      <c r="H17" s="223">
        <v>46224</v>
      </c>
      <c r="I17" s="223"/>
      <c r="J17" s="154" t="s">
        <v>417</v>
      </c>
      <c r="K17" s="154" t="s">
        <v>418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7" customHeight="1" x14ac:dyDescent="0.15">
      <c r="A18" s="222">
        <f t="shared" si="1"/>
        <v>6</v>
      </c>
      <c r="B18" s="223">
        <v>46217</v>
      </c>
      <c r="C18" s="153" t="s">
        <v>396</v>
      </c>
      <c r="D18" s="153" t="s">
        <v>419</v>
      </c>
      <c r="E18" s="154" t="s">
        <v>420</v>
      </c>
      <c r="F18" s="157" t="s">
        <v>421</v>
      </c>
      <c r="G18" s="153" t="s">
        <v>55</v>
      </c>
      <c r="H18" s="223">
        <v>46237</v>
      </c>
      <c r="I18" s="223"/>
      <c r="J18" s="154" t="s">
        <v>362</v>
      </c>
      <c r="K18" s="154" t="s">
        <v>422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7" customHeight="1" x14ac:dyDescent="0.15">
      <c r="A19" s="222">
        <f t="shared" si="1"/>
        <v>7</v>
      </c>
      <c r="B19" s="223">
        <v>46217</v>
      </c>
      <c r="C19" s="153" t="s">
        <v>396</v>
      </c>
      <c r="D19" s="153" t="s">
        <v>423</v>
      </c>
      <c r="E19" s="154" t="s">
        <v>424</v>
      </c>
      <c r="F19" s="158" t="s">
        <v>425</v>
      </c>
      <c r="G19" s="153" t="s">
        <v>55</v>
      </c>
      <c r="H19" s="223">
        <v>46302</v>
      </c>
      <c r="I19" s="223"/>
      <c r="J19" s="154" t="s">
        <v>426</v>
      </c>
      <c r="K19" s="159" t="s">
        <v>427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7" customHeight="1" x14ac:dyDescent="0.15">
      <c r="A20" s="225">
        <v>8</v>
      </c>
      <c r="B20" s="223">
        <v>46217</v>
      </c>
      <c r="C20" s="153" t="s">
        <v>396</v>
      </c>
      <c r="D20" s="153" t="s">
        <v>428</v>
      </c>
      <c r="E20" s="154" t="s">
        <v>429</v>
      </c>
      <c r="F20" s="157" t="s">
        <v>430</v>
      </c>
      <c r="G20" s="153" t="s">
        <v>55</v>
      </c>
      <c r="H20" s="223">
        <v>46308</v>
      </c>
      <c r="I20" s="223"/>
      <c r="J20" s="154" t="s">
        <v>431</v>
      </c>
      <c r="K20" s="160" t="s">
        <v>432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7" customHeight="1" x14ac:dyDescent="0.15">
      <c r="A21" s="225"/>
      <c r="B21" s="162"/>
      <c r="C21" s="153"/>
      <c r="D21" s="153"/>
      <c r="E21" s="154"/>
      <c r="F21" s="161"/>
      <c r="G21" s="153"/>
      <c r="H21" s="162"/>
      <c r="I21" s="226"/>
      <c r="J21" s="157"/>
      <c r="K21" s="157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7" customHeight="1" x14ac:dyDescent="0.15">
      <c r="A22" s="225"/>
      <c r="B22" s="162"/>
      <c r="C22" s="153"/>
      <c r="D22" s="153"/>
      <c r="E22" s="154"/>
      <c r="F22" s="161"/>
      <c r="G22" s="153"/>
      <c r="H22" s="162"/>
      <c r="I22" s="226"/>
      <c r="J22" s="157"/>
      <c r="K22" s="157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7" customHeight="1" x14ac:dyDescent="0.15">
      <c r="A23" s="225"/>
      <c r="B23" s="162"/>
      <c r="C23" s="153"/>
      <c r="D23" s="153"/>
      <c r="E23" s="154"/>
      <c r="F23" s="161"/>
      <c r="G23" s="153"/>
      <c r="H23" s="162"/>
      <c r="I23" s="226"/>
      <c r="J23" s="157"/>
      <c r="K23" s="157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7" customHeight="1" x14ac:dyDescent="0.15">
      <c r="A24" s="225"/>
      <c r="B24" s="162"/>
      <c r="C24" s="153"/>
      <c r="D24" s="153"/>
      <c r="E24" s="154"/>
      <c r="F24" s="161"/>
      <c r="G24" s="153"/>
      <c r="H24" s="162"/>
      <c r="I24" s="163"/>
      <c r="J24" s="157"/>
      <c r="K24" s="154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7" customHeight="1" x14ac:dyDescent="0.15">
      <c r="A25" s="225"/>
      <c r="B25" s="162"/>
      <c r="C25" s="153"/>
      <c r="D25" s="153"/>
      <c r="E25" s="154"/>
      <c r="F25" s="159"/>
      <c r="G25" s="153"/>
      <c r="H25" s="162"/>
      <c r="I25" s="227"/>
      <c r="J25" s="154"/>
      <c r="K25" s="16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7" customHeight="1" x14ac:dyDescent="0.15">
      <c r="A26" s="225"/>
      <c r="B26" s="162"/>
      <c r="C26" s="153"/>
      <c r="D26" s="153"/>
      <c r="E26" s="154"/>
      <c r="F26" s="157"/>
      <c r="G26" s="153"/>
      <c r="H26" s="162"/>
      <c r="I26" s="226"/>
      <c r="J26" s="164"/>
      <c r="K26" s="154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7" customHeight="1" x14ac:dyDescent="0.15">
      <c r="A27" s="225"/>
      <c r="B27" s="162"/>
      <c r="C27" s="153"/>
      <c r="D27" s="153"/>
      <c r="E27" s="154"/>
      <c r="F27" s="165"/>
      <c r="G27" s="153"/>
      <c r="H27" s="162"/>
      <c r="I27" s="226"/>
      <c r="J27" s="154"/>
      <c r="K27" s="16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7" customHeight="1" x14ac:dyDescent="0.15">
      <c r="A28" s="225"/>
      <c r="B28" s="162"/>
      <c r="C28" s="153"/>
      <c r="D28" s="153"/>
      <c r="E28" s="154"/>
      <c r="F28" s="159"/>
      <c r="G28" s="153"/>
      <c r="H28" s="162"/>
      <c r="I28" s="226"/>
      <c r="J28" s="154"/>
      <c r="K28" s="16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7" customHeight="1" x14ac:dyDescent="0.15">
      <c r="A29" s="225"/>
      <c r="B29" s="162"/>
      <c r="C29" s="153"/>
      <c r="D29" s="153"/>
      <c r="E29" s="154"/>
      <c r="F29" s="157"/>
      <c r="G29" s="153"/>
      <c r="H29" s="162"/>
      <c r="I29" s="227"/>
      <c r="J29" s="154"/>
      <c r="K29" s="154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7" customHeight="1" x14ac:dyDescent="0.15">
      <c r="A30" s="228"/>
      <c r="B30" s="166"/>
      <c r="C30" s="110"/>
      <c r="D30" s="228"/>
      <c r="E30" s="166"/>
      <c r="F30" s="166"/>
      <c r="G30" s="166"/>
      <c r="H30" s="166"/>
      <c r="I30" s="166"/>
      <c r="J30" s="229"/>
      <c r="K30" s="166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7" customHeight="1" x14ac:dyDescent="0.15"/>
    <row r="32" spans="1:26" ht="17" customHeight="1" x14ac:dyDescent="0.15"/>
    <row r="33" ht="17" customHeight="1" x14ac:dyDescent="0.15"/>
    <row r="34" ht="17" customHeight="1" x14ac:dyDescent="0.15"/>
    <row r="35" ht="17" customHeight="1" x14ac:dyDescent="0.15"/>
    <row r="36" ht="17" customHeight="1" x14ac:dyDescent="0.15"/>
    <row r="37" ht="17" customHeight="1" x14ac:dyDescent="0.15"/>
    <row r="38" ht="17" customHeight="1" x14ac:dyDescent="0.15"/>
    <row r="39" ht="17" customHeight="1" x14ac:dyDescent="0.15"/>
    <row r="40" ht="17" customHeight="1" x14ac:dyDescent="0.15"/>
    <row r="41" ht="17" customHeight="1" x14ac:dyDescent="0.15"/>
    <row r="42" ht="17" customHeight="1" x14ac:dyDescent="0.15"/>
    <row r="43" ht="17" customHeight="1" x14ac:dyDescent="0.15"/>
    <row r="44" ht="17" customHeight="1" x14ac:dyDescent="0.15"/>
    <row r="45" ht="17" customHeight="1" x14ac:dyDescent="0.15"/>
    <row r="46" ht="17" customHeight="1" x14ac:dyDescent="0.15"/>
    <row r="47" ht="17" customHeight="1" x14ac:dyDescent="0.15"/>
    <row r="48" ht="17" customHeight="1" x14ac:dyDescent="0.15"/>
    <row r="49" ht="17" customHeight="1" x14ac:dyDescent="0.15"/>
    <row r="50" ht="17" customHeight="1" x14ac:dyDescent="0.15"/>
    <row r="51" ht="17" customHeight="1" x14ac:dyDescent="0.15"/>
    <row r="52" ht="17" customHeight="1" x14ac:dyDescent="0.15"/>
    <row r="53" ht="17" customHeight="1" x14ac:dyDescent="0.15"/>
    <row r="54" ht="17" customHeight="1" x14ac:dyDescent="0.15"/>
    <row r="55" ht="17" customHeight="1" x14ac:dyDescent="0.15"/>
    <row r="56" ht="17" customHeight="1" x14ac:dyDescent="0.15"/>
    <row r="57" ht="17" customHeight="1" x14ac:dyDescent="0.15"/>
    <row r="58" ht="17" customHeight="1" x14ac:dyDescent="0.15"/>
    <row r="59" ht="17" customHeight="1" x14ac:dyDescent="0.15"/>
    <row r="60" ht="17" customHeight="1" x14ac:dyDescent="0.15"/>
    <row r="61" ht="17" customHeight="1" x14ac:dyDescent="0.15"/>
    <row r="62" ht="17" customHeight="1" x14ac:dyDescent="0.15"/>
    <row r="63" ht="17" customHeight="1" x14ac:dyDescent="0.15"/>
    <row r="64" ht="17" customHeight="1" x14ac:dyDescent="0.15"/>
    <row r="65" ht="17" customHeight="1" x14ac:dyDescent="0.15"/>
    <row r="66" ht="17" customHeight="1" x14ac:dyDescent="0.15"/>
    <row r="67" ht="17" customHeight="1" x14ac:dyDescent="0.15"/>
    <row r="68" ht="17" customHeight="1" x14ac:dyDescent="0.15"/>
    <row r="69" ht="17" customHeight="1" x14ac:dyDescent="0.15"/>
    <row r="70" ht="17" customHeight="1" x14ac:dyDescent="0.15"/>
    <row r="71" ht="17" customHeight="1" x14ac:dyDescent="0.15"/>
    <row r="72" ht="17" customHeight="1" x14ac:dyDescent="0.15"/>
    <row r="73" ht="17" customHeight="1" x14ac:dyDescent="0.15"/>
    <row r="74" ht="17" customHeight="1" x14ac:dyDescent="0.15"/>
    <row r="75" ht="17" customHeight="1" x14ac:dyDescent="0.15"/>
    <row r="76" ht="17" customHeight="1" x14ac:dyDescent="0.15"/>
    <row r="77" ht="17" customHeight="1" x14ac:dyDescent="0.15"/>
    <row r="78" ht="17" customHeight="1" x14ac:dyDescent="0.15"/>
    <row r="79" ht="17" customHeight="1" x14ac:dyDescent="0.15"/>
    <row r="80" ht="17" customHeight="1" x14ac:dyDescent="0.15"/>
    <row r="81" ht="17" customHeight="1" x14ac:dyDescent="0.15"/>
    <row r="82" ht="17" customHeight="1" x14ac:dyDescent="0.15"/>
    <row r="83" ht="17" customHeight="1" x14ac:dyDescent="0.15"/>
    <row r="84" ht="17" customHeight="1" x14ac:dyDescent="0.15"/>
    <row r="85" ht="17" customHeight="1" x14ac:dyDescent="0.15"/>
    <row r="86" ht="17" customHeight="1" x14ac:dyDescent="0.15"/>
    <row r="87" ht="17" customHeight="1" x14ac:dyDescent="0.15"/>
    <row r="88" ht="17" customHeight="1" x14ac:dyDescent="0.15"/>
    <row r="89" ht="17" customHeight="1" x14ac:dyDescent="0.15"/>
    <row r="90" ht="17" customHeight="1" x14ac:dyDescent="0.15"/>
    <row r="91" ht="17" customHeight="1" x14ac:dyDescent="0.15"/>
    <row r="92" ht="17" customHeight="1" x14ac:dyDescent="0.15"/>
    <row r="93" ht="17" customHeight="1" x14ac:dyDescent="0.15"/>
    <row r="94" ht="17" customHeight="1" x14ac:dyDescent="0.15"/>
    <row r="95" ht="17" customHeight="1" x14ac:dyDescent="0.15"/>
    <row r="96" ht="17" customHeight="1" x14ac:dyDescent="0.15"/>
    <row r="97" ht="17" customHeight="1" x14ac:dyDescent="0.15"/>
    <row r="98" ht="17" customHeight="1" x14ac:dyDescent="0.15"/>
    <row r="99" ht="17" customHeight="1" x14ac:dyDescent="0.15"/>
    <row r="100" ht="17" customHeight="1" x14ac:dyDescent="0.15"/>
    <row r="101" ht="17" customHeight="1" x14ac:dyDescent="0.15"/>
    <row r="102" ht="17" customHeight="1" x14ac:dyDescent="0.15"/>
    <row r="103" ht="17" customHeight="1" x14ac:dyDescent="0.15"/>
    <row r="104" ht="17" customHeight="1" x14ac:dyDescent="0.15"/>
    <row r="105" ht="17" customHeight="1" x14ac:dyDescent="0.15"/>
    <row r="106" ht="17" customHeight="1" x14ac:dyDescent="0.15"/>
    <row r="107" ht="17" customHeight="1" x14ac:dyDescent="0.15"/>
    <row r="108" ht="17" customHeight="1" x14ac:dyDescent="0.15"/>
    <row r="109" ht="17" customHeight="1" x14ac:dyDescent="0.15"/>
    <row r="110" ht="17" customHeight="1" x14ac:dyDescent="0.15"/>
    <row r="111" ht="17" customHeight="1" x14ac:dyDescent="0.15"/>
    <row r="112" ht="17" customHeight="1" x14ac:dyDescent="0.15"/>
    <row r="113" ht="17" customHeight="1" x14ac:dyDescent="0.15"/>
    <row r="114" ht="17" customHeight="1" x14ac:dyDescent="0.15"/>
    <row r="115" ht="17" customHeight="1" x14ac:dyDescent="0.15"/>
    <row r="116" ht="17" customHeight="1" x14ac:dyDescent="0.15"/>
    <row r="117" ht="17" customHeight="1" x14ac:dyDescent="0.15"/>
    <row r="118" ht="17" customHeight="1" x14ac:dyDescent="0.15"/>
    <row r="119" ht="17" customHeight="1" x14ac:dyDescent="0.15"/>
    <row r="120" ht="17" customHeight="1" x14ac:dyDescent="0.15"/>
    <row r="121" ht="17" customHeight="1" x14ac:dyDescent="0.15"/>
    <row r="122" ht="17" customHeight="1" x14ac:dyDescent="0.15"/>
    <row r="123" ht="17" customHeight="1" x14ac:dyDescent="0.15"/>
    <row r="124" ht="17" customHeight="1" x14ac:dyDescent="0.15"/>
    <row r="125" ht="17" customHeight="1" x14ac:dyDescent="0.15"/>
    <row r="126" ht="17" customHeight="1" x14ac:dyDescent="0.15"/>
    <row r="127" ht="17" customHeight="1" x14ac:dyDescent="0.15"/>
    <row r="128" ht="17" customHeight="1" x14ac:dyDescent="0.15"/>
    <row r="129" ht="17" customHeight="1" x14ac:dyDescent="0.15"/>
    <row r="130" ht="17" customHeight="1" x14ac:dyDescent="0.15"/>
    <row r="131" ht="17" customHeight="1" x14ac:dyDescent="0.15"/>
    <row r="132" ht="17" customHeight="1" x14ac:dyDescent="0.15"/>
    <row r="133" ht="17" customHeight="1" x14ac:dyDescent="0.15"/>
    <row r="134" ht="17" customHeight="1" x14ac:dyDescent="0.15"/>
    <row r="135" ht="17" customHeight="1" x14ac:dyDescent="0.15"/>
    <row r="136" ht="17" customHeight="1" x14ac:dyDescent="0.15"/>
    <row r="137" ht="17" customHeight="1" x14ac:dyDescent="0.15"/>
    <row r="138" ht="17" customHeight="1" x14ac:dyDescent="0.15"/>
    <row r="139" ht="17" customHeight="1" x14ac:dyDescent="0.15"/>
    <row r="140" ht="17" customHeight="1" x14ac:dyDescent="0.15"/>
    <row r="141" ht="17" customHeight="1" x14ac:dyDescent="0.15"/>
    <row r="142" ht="17" customHeight="1" x14ac:dyDescent="0.15"/>
    <row r="143" ht="17" customHeight="1" x14ac:dyDescent="0.15"/>
    <row r="144" ht="17" customHeight="1" x14ac:dyDescent="0.15"/>
    <row r="145" ht="17" customHeight="1" x14ac:dyDescent="0.15"/>
    <row r="146" ht="17" customHeight="1" x14ac:dyDescent="0.15"/>
    <row r="147" ht="17" customHeight="1" x14ac:dyDescent="0.15"/>
    <row r="148" ht="17" customHeight="1" x14ac:dyDescent="0.15"/>
    <row r="149" ht="17" customHeight="1" x14ac:dyDescent="0.15"/>
    <row r="150" ht="17" customHeight="1" x14ac:dyDescent="0.15"/>
    <row r="151" ht="17" customHeight="1" x14ac:dyDescent="0.15"/>
    <row r="152" ht="17" customHeight="1" x14ac:dyDescent="0.15"/>
    <row r="153" ht="17" customHeight="1" x14ac:dyDescent="0.15"/>
    <row r="154" ht="17" customHeight="1" x14ac:dyDescent="0.15"/>
    <row r="155" ht="17" customHeight="1" x14ac:dyDescent="0.15"/>
    <row r="156" ht="17" customHeight="1" x14ac:dyDescent="0.15"/>
    <row r="157" ht="17" customHeight="1" x14ac:dyDescent="0.15"/>
    <row r="158" ht="17" customHeight="1" x14ac:dyDescent="0.15"/>
    <row r="159" ht="17" customHeight="1" x14ac:dyDescent="0.15"/>
    <row r="160" ht="17" customHeight="1" x14ac:dyDescent="0.15"/>
    <row r="161" ht="17" customHeight="1" x14ac:dyDescent="0.15"/>
    <row r="162" ht="17" customHeight="1" x14ac:dyDescent="0.15"/>
    <row r="163" ht="17" customHeight="1" x14ac:dyDescent="0.15"/>
    <row r="164" ht="17" customHeight="1" x14ac:dyDescent="0.15"/>
    <row r="165" ht="17" customHeight="1" x14ac:dyDescent="0.15"/>
    <row r="166" ht="17" customHeight="1" x14ac:dyDescent="0.15"/>
    <row r="167" ht="17" customHeight="1" x14ac:dyDescent="0.15"/>
    <row r="168" ht="17" customHeight="1" x14ac:dyDescent="0.15"/>
    <row r="169" ht="17" customHeight="1" x14ac:dyDescent="0.15"/>
    <row r="170" ht="17" customHeight="1" x14ac:dyDescent="0.15"/>
    <row r="171" ht="17" customHeight="1" x14ac:dyDescent="0.15"/>
    <row r="172" ht="17" customHeight="1" x14ac:dyDescent="0.15"/>
    <row r="173" ht="17" customHeight="1" x14ac:dyDescent="0.15"/>
    <row r="174" ht="17" customHeight="1" x14ac:dyDescent="0.15"/>
    <row r="175" ht="17" customHeight="1" x14ac:dyDescent="0.15"/>
    <row r="176" ht="17" customHeight="1" x14ac:dyDescent="0.15"/>
    <row r="177" ht="17" customHeight="1" x14ac:dyDescent="0.15"/>
    <row r="178" ht="17" customHeight="1" x14ac:dyDescent="0.15"/>
    <row r="179" ht="17" customHeight="1" x14ac:dyDescent="0.15"/>
    <row r="180" ht="17" customHeight="1" x14ac:dyDescent="0.15"/>
    <row r="181" ht="17" customHeight="1" x14ac:dyDescent="0.15"/>
    <row r="182" ht="17" customHeight="1" x14ac:dyDescent="0.15"/>
    <row r="183" ht="17" customHeight="1" x14ac:dyDescent="0.15"/>
    <row r="184" ht="17" customHeight="1" x14ac:dyDescent="0.15"/>
    <row r="185" ht="17" customHeight="1" x14ac:dyDescent="0.15"/>
    <row r="186" ht="17" customHeight="1" x14ac:dyDescent="0.15"/>
    <row r="187" ht="17" customHeight="1" x14ac:dyDescent="0.15"/>
    <row r="188" ht="17" customHeight="1" x14ac:dyDescent="0.15"/>
    <row r="189" ht="17" customHeight="1" x14ac:dyDescent="0.15"/>
    <row r="190" ht="17" customHeight="1" x14ac:dyDescent="0.15"/>
    <row r="191" ht="17" customHeight="1" x14ac:dyDescent="0.15"/>
    <row r="192" ht="17" customHeight="1" x14ac:dyDescent="0.15"/>
    <row r="193" ht="17" customHeight="1" x14ac:dyDescent="0.15"/>
    <row r="194" ht="17" customHeight="1" x14ac:dyDescent="0.15"/>
    <row r="195" ht="17" customHeight="1" x14ac:dyDescent="0.15"/>
    <row r="196" ht="17" customHeight="1" x14ac:dyDescent="0.15"/>
    <row r="197" ht="17" customHeight="1" x14ac:dyDescent="0.15"/>
    <row r="198" ht="17" customHeight="1" x14ac:dyDescent="0.15"/>
    <row r="199" ht="17" customHeight="1" x14ac:dyDescent="0.15"/>
    <row r="200" ht="17" customHeight="1" x14ac:dyDescent="0.15"/>
    <row r="201" ht="17" customHeight="1" x14ac:dyDescent="0.15"/>
    <row r="202" ht="17" customHeight="1" x14ac:dyDescent="0.15"/>
    <row r="203" ht="17" customHeight="1" x14ac:dyDescent="0.15"/>
    <row r="204" ht="17" customHeight="1" x14ac:dyDescent="0.15"/>
    <row r="205" ht="17" customHeight="1" x14ac:dyDescent="0.15"/>
    <row r="206" ht="17" customHeight="1" x14ac:dyDescent="0.15"/>
    <row r="207" ht="17" customHeight="1" x14ac:dyDescent="0.15"/>
    <row r="208" ht="17" customHeight="1" x14ac:dyDescent="0.15"/>
    <row r="209" ht="17" customHeight="1" x14ac:dyDescent="0.15"/>
    <row r="210" ht="17" customHeight="1" x14ac:dyDescent="0.15"/>
    <row r="211" ht="17" customHeight="1" x14ac:dyDescent="0.15"/>
    <row r="212" ht="17" customHeight="1" x14ac:dyDescent="0.15"/>
    <row r="213" ht="17" customHeight="1" x14ac:dyDescent="0.15"/>
    <row r="214" ht="17" customHeight="1" x14ac:dyDescent="0.15"/>
    <row r="215" ht="17" customHeight="1" x14ac:dyDescent="0.15"/>
    <row r="216" ht="17" customHeight="1" x14ac:dyDescent="0.15"/>
    <row r="217" ht="17" customHeight="1" x14ac:dyDescent="0.15"/>
    <row r="218" ht="17" customHeight="1" x14ac:dyDescent="0.15"/>
    <row r="219" ht="17" customHeight="1" x14ac:dyDescent="0.15"/>
    <row r="220" ht="17" customHeight="1" x14ac:dyDescent="0.15"/>
    <row r="221" ht="17" customHeight="1" x14ac:dyDescent="0.15"/>
    <row r="222" ht="17" customHeight="1" x14ac:dyDescent="0.15"/>
    <row r="223" ht="17" customHeight="1" x14ac:dyDescent="0.15"/>
    <row r="224" ht="17" customHeight="1" x14ac:dyDescent="0.15"/>
    <row r="225" ht="17" customHeight="1" x14ac:dyDescent="0.15"/>
    <row r="226" ht="17" customHeight="1" x14ac:dyDescent="0.15"/>
    <row r="227" ht="17" customHeight="1" x14ac:dyDescent="0.15"/>
    <row r="228" ht="17" customHeight="1" x14ac:dyDescent="0.15"/>
    <row r="229" ht="17" customHeight="1" x14ac:dyDescent="0.15"/>
    <row r="230" ht="17" customHeight="1" x14ac:dyDescent="0.15"/>
    <row r="231" ht="17" customHeight="1" x14ac:dyDescent="0.15"/>
    <row r="232" ht="17" customHeight="1" x14ac:dyDescent="0.15"/>
    <row r="233" ht="17" customHeight="1" x14ac:dyDescent="0.15"/>
    <row r="234" ht="17" customHeight="1" x14ac:dyDescent="0.15"/>
    <row r="235" ht="17" customHeight="1" x14ac:dyDescent="0.15"/>
    <row r="236" ht="17" customHeight="1" x14ac:dyDescent="0.15"/>
    <row r="237" ht="17" customHeight="1" x14ac:dyDescent="0.15"/>
    <row r="238" ht="17" customHeight="1" x14ac:dyDescent="0.15"/>
    <row r="239" ht="17" customHeight="1" x14ac:dyDescent="0.15"/>
    <row r="240" ht="17" customHeight="1" x14ac:dyDescent="0.15"/>
    <row r="241" ht="17" customHeight="1" x14ac:dyDescent="0.15"/>
    <row r="242" ht="17" customHeight="1" x14ac:dyDescent="0.15"/>
    <row r="243" ht="17" customHeight="1" x14ac:dyDescent="0.15"/>
    <row r="244" ht="17" customHeight="1" x14ac:dyDescent="0.15"/>
    <row r="245" ht="17" customHeight="1" x14ac:dyDescent="0.15"/>
    <row r="246" ht="17" customHeight="1" x14ac:dyDescent="0.15"/>
    <row r="247" ht="17" customHeight="1" x14ac:dyDescent="0.15"/>
    <row r="248" ht="17" customHeight="1" x14ac:dyDescent="0.15"/>
    <row r="249" ht="17" customHeight="1" x14ac:dyDescent="0.15"/>
    <row r="250" ht="17" customHeight="1" x14ac:dyDescent="0.15"/>
    <row r="251" ht="17" customHeight="1" x14ac:dyDescent="0.15"/>
    <row r="252" ht="17" customHeight="1" x14ac:dyDescent="0.15"/>
    <row r="253" ht="17" customHeight="1" x14ac:dyDescent="0.15"/>
    <row r="254" ht="17" customHeight="1" x14ac:dyDescent="0.15"/>
    <row r="255" ht="17" customHeight="1" x14ac:dyDescent="0.15"/>
    <row r="256" ht="17" customHeight="1" x14ac:dyDescent="0.15"/>
    <row r="257" ht="17" customHeight="1" x14ac:dyDescent="0.15"/>
    <row r="258" ht="17" customHeight="1" x14ac:dyDescent="0.15"/>
    <row r="259" ht="17" customHeight="1" x14ac:dyDescent="0.15"/>
    <row r="260" ht="17" customHeight="1" x14ac:dyDescent="0.15"/>
    <row r="261" ht="17" customHeight="1" x14ac:dyDescent="0.15"/>
    <row r="262" ht="17" customHeight="1" x14ac:dyDescent="0.15"/>
    <row r="263" ht="17" customHeight="1" x14ac:dyDescent="0.15"/>
    <row r="264" ht="17" customHeight="1" x14ac:dyDescent="0.15"/>
    <row r="265" ht="17" customHeight="1" x14ac:dyDescent="0.15"/>
    <row r="266" ht="17" customHeight="1" x14ac:dyDescent="0.15"/>
    <row r="267" ht="17" customHeight="1" x14ac:dyDescent="0.15"/>
    <row r="268" ht="17" customHeight="1" x14ac:dyDescent="0.15"/>
    <row r="269" ht="17" customHeight="1" x14ac:dyDescent="0.15"/>
    <row r="270" ht="17" customHeight="1" x14ac:dyDescent="0.15"/>
    <row r="271" ht="17" customHeight="1" x14ac:dyDescent="0.15"/>
    <row r="272" ht="17" customHeight="1" x14ac:dyDescent="0.15"/>
    <row r="273" ht="17" customHeight="1" x14ac:dyDescent="0.15"/>
    <row r="274" ht="17" customHeight="1" x14ac:dyDescent="0.15"/>
    <row r="275" ht="17" customHeight="1" x14ac:dyDescent="0.15"/>
    <row r="276" ht="17" customHeight="1" x14ac:dyDescent="0.15"/>
    <row r="277" ht="17" customHeight="1" x14ac:dyDescent="0.15"/>
    <row r="278" ht="17" customHeight="1" x14ac:dyDescent="0.15"/>
    <row r="279" ht="17" customHeight="1" x14ac:dyDescent="0.15"/>
    <row r="280" ht="17" customHeight="1" x14ac:dyDescent="0.15"/>
    <row r="281" ht="17" customHeight="1" x14ac:dyDescent="0.15"/>
    <row r="282" ht="17" customHeight="1" x14ac:dyDescent="0.15"/>
    <row r="283" ht="17" customHeight="1" x14ac:dyDescent="0.15"/>
    <row r="284" ht="17" customHeight="1" x14ac:dyDescent="0.15"/>
    <row r="285" ht="17" customHeight="1" x14ac:dyDescent="0.15"/>
    <row r="286" ht="17" customHeight="1" x14ac:dyDescent="0.15"/>
    <row r="287" ht="17" customHeight="1" x14ac:dyDescent="0.15"/>
    <row r="288" ht="17" customHeight="1" x14ac:dyDescent="0.15"/>
    <row r="289" ht="17" customHeight="1" x14ac:dyDescent="0.15"/>
    <row r="290" ht="17" customHeight="1" x14ac:dyDescent="0.15"/>
    <row r="291" ht="17" customHeight="1" x14ac:dyDescent="0.15"/>
    <row r="292" ht="17" customHeight="1" x14ac:dyDescent="0.15"/>
    <row r="293" ht="17" customHeight="1" x14ac:dyDescent="0.15"/>
    <row r="294" ht="17" customHeight="1" x14ac:dyDescent="0.15"/>
    <row r="295" ht="17" customHeight="1" x14ac:dyDescent="0.15"/>
    <row r="296" ht="17" customHeight="1" x14ac:dyDescent="0.15"/>
    <row r="297" ht="17" customHeight="1" x14ac:dyDescent="0.15"/>
    <row r="298" ht="17" customHeight="1" x14ac:dyDescent="0.15"/>
    <row r="299" ht="17" customHeight="1" x14ac:dyDescent="0.15"/>
    <row r="300" ht="17" customHeight="1" x14ac:dyDescent="0.15"/>
    <row r="301" ht="17" customHeight="1" x14ac:dyDescent="0.15"/>
    <row r="302" ht="17" customHeight="1" x14ac:dyDescent="0.15"/>
    <row r="303" ht="17" customHeight="1" x14ac:dyDescent="0.15"/>
    <row r="304" ht="17" customHeight="1" x14ac:dyDescent="0.15"/>
    <row r="305" ht="17" customHeight="1" x14ac:dyDescent="0.15"/>
    <row r="306" ht="17" customHeight="1" x14ac:dyDescent="0.15"/>
    <row r="307" ht="17" customHeight="1" x14ac:dyDescent="0.15"/>
    <row r="308" ht="17" customHeight="1" x14ac:dyDescent="0.15"/>
    <row r="309" ht="17" customHeight="1" x14ac:dyDescent="0.15"/>
    <row r="310" ht="17" customHeight="1" x14ac:dyDescent="0.15"/>
    <row r="311" ht="17" customHeight="1" x14ac:dyDescent="0.15"/>
    <row r="312" ht="17" customHeight="1" x14ac:dyDescent="0.15"/>
    <row r="313" ht="17" customHeight="1" x14ac:dyDescent="0.15"/>
    <row r="314" ht="17" customHeight="1" x14ac:dyDescent="0.15"/>
    <row r="315" ht="17" customHeight="1" x14ac:dyDescent="0.15"/>
    <row r="316" ht="17" customHeight="1" x14ac:dyDescent="0.15"/>
    <row r="317" ht="17" customHeight="1" x14ac:dyDescent="0.15"/>
    <row r="318" ht="17" customHeight="1" x14ac:dyDescent="0.15"/>
    <row r="319" ht="17" customHeight="1" x14ac:dyDescent="0.15"/>
    <row r="320" ht="17" customHeight="1" x14ac:dyDescent="0.15"/>
    <row r="321" ht="17" customHeight="1" x14ac:dyDescent="0.15"/>
    <row r="322" ht="17" customHeight="1" x14ac:dyDescent="0.15"/>
    <row r="323" ht="17" customHeight="1" x14ac:dyDescent="0.15"/>
    <row r="324" ht="17" customHeight="1" x14ac:dyDescent="0.15"/>
    <row r="325" ht="17" customHeight="1" x14ac:dyDescent="0.15"/>
    <row r="326" ht="17" customHeight="1" x14ac:dyDescent="0.15"/>
    <row r="327" ht="17" customHeight="1" x14ac:dyDescent="0.15"/>
    <row r="328" ht="17" customHeight="1" x14ac:dyDescent="0.15"/>
    <row r="329" ht="17" customHeight="1" x14ac:dyDescent="0.15"/>
    <row r="330" ht="17" customHeight="1" x14ac:dyDescent="0.15"/>
    <row r="331" ht="17" customHeight="1" x14ac:dyDescent="0.15"/>
    <row r="332" ht="17" customHeight="1" x14ac:dyDescent="0.15"/>
    <row r="333" ht="17" customHeight="1" x14ac:dyDescent="0.15"/>
    <row r="334" ht="17" customHeight="1" x14ac:dyDescent="0.15"/>
    <row r="335" ht="17" customHeight="1" x14ac:dyDescent="0.15"/>
    <row r="336" ht="17" customHeight="1" x14ac:dyDescent="0.15"/>
    <row r="337" ht="17" customHeight="1" x14ac:dyDescent="0.15"/>
    <row r="338" ht="17" customHeight="1" x14ac:dyDescent="0.15"/>
    <row r="339" ht="17" customHeight="1" x14ac:dyDescent="0.15"/>
    <row r="340" ht="17" customHeight="1" x14ac:dyDescent="0.15"/>
    <row r="341" ht="17" customHeight="1" x14ac:dyDescent="0.15"/>
    <row r="342" ht="17" customHeight="1" x14ac:dyDescent="0.15"/>
    <row r="343" ht="17" customHeight="1" x14ac:dyDescent="0.15"/>
    <row r="344" ht="17" customHeight="1" x14ac:dyDescent="0.15"/>
    <row r="345" ht="17" customHeight="1" x14ac:dyDescent="0.15"/>
    <row r="346" ht="17" customHeight="1" x14ac:dyDescent="0.15"/>
    <row r="347" ht="17" customHeight="1" x14ac:dyDescent="0.15"/>
    <row r="348" ht="17" customHeight="1" x14ac:dyDescent="0.15"/>
    <row r="349" ht="17" customHeight="1" x14ac:dyDescent="0.15"/>
    <row r="350" ht="17" customHeight="1" x14ac:dyDescent="0.15"/>
    <row r="351" ht="17" customHeight="1" x14ac:dyDescent="0.15"/>
    <row r="352" ht="17" customHeight="1" x14ac:dyDescent="0.15"/>
    <row r="353" ht="17" customHeight="1" x14ac:dyDescent="0.15"/>
    <row r="354" ht="17" customHeight="1" x14ac:dyDescent="0.15"/>
    <row r="355" ht="17" customHeight="1" x14ac:dyDescent="0.15"/>
    <row r="356" ht="17" customHeight="1" x14ac:dyDescent="0.15"/>
    <row r="357" ht="17" customHeight="1" x14ac:dyDescent="0.15"/>
    <row r="358" ht="17" customHeight="1" x14ac:dyDescent="0.15"/>
    <row r="359" ht="17" customHeight="1" x14ac:dyDescent="0.15"/>
    <row r="360" ht="17" customHeight="1" x14ac:dyDescent="0.15"/>
    <row r="361" ht="17" customHeight="1" x14ac:dyDescent="0.15"/>
    <row r="362" ht="17" customHeight="1" x14ac:dyDescent="0.15"/>
    <row r="363" ht="17" customHeight="1" x14ac:dyDescent="0.15"/>
    <row r="364" ht="17" customHeight="1" x14ac:dyDescent="0.15"/>
    <row r="365" ht="17" customHeight="1" x14ac:dyDescent="0.15"/>
    <row r="366" ht="17" customHeight="1" x14ac:dyDescent="0.15"/>
    <row r="367" ht="17" customHeight="1" x14ac:dyDescent="0.15"/>
    <row r="368" ht="17" customHeight="1" x14ac:dyDescent="0.15"/>
    <row r="369" ht="17" customHeight="1" x14ac:dyDescent="0.15"/>
    <row r="370" ht="17" customHeight="1" x14ac:dyDescent="0.15"/>
    <row r="371" ht="17" customHeight="1" x14ac:dyDescent="0.15"/>
    <row r="372" ht="17" customHeight="1" x14ac:dyDescent="0.15"/>
    <row r="373" ht="17" customHeight="1" x14ac:dyDescent="0.15"/>
    <row r="374" ht="17" customHeight="1" x14ac:dyDescent="0.15"/>
    <row r="375" ht="17" customHeight="1" x14ac:dyDescent="0.15"/>
    <row r="376" ht="17" customHeight="1" x14ac:dyDescent="0.15"/>
    <row r="377" ht="17" customHeight="1" x14ac:dyDescent="0.15"/>
    <row r="378" ht="17" customHeight="1" x14ac:dyDescent="0.15"/>
    <row r="379" ht="17" customHeight="1" x14ac:dyDescent="0.15"/>
    <row r="380" ht="17" customHeight="1" x14ac:dyDescent="0.15"/>
    <row r="381" ht="17" customHeight="1" x14ac:dyDescent="0.15"/>
    <row r="382" ht="17" customHeight="1" x14ac:dyDescent="0.15"/>
    <row r="383" ht="17" customHeight="1" x14ac:dyDescent="0.15"/>
    <row r="384" ht="17" customHeight="1" x14ac:dyDescent="0.15"/>
    <row r="385" ht="17" customHeight="1" x14ac:dyDescent="0.15"/>
    <row r="386" ht="17" customHeight="1" x14ac:dyDescent="0.15"/>
    <row r="387" ht="17" customHeight="1" x14ac:dyDescent="0.15"/>
    <row r="388" ht="17" customHeight="1" x14ac:dyDescent="0.15"/>
    <row r="389" ht="17" customHeight="1" x14ac:dyDescent="0.15"/>
    <row r="390" ht="17" customHeight="1" x14ac:dyDescent="0.15"/>
    <row r="391" ht="17" customHeight="1" x14ac:dyDescent="0.15"/>
    <row r="392" ht="17" customHeight="1" x14ac:dyDescent="0.15"/>
    <row r="393" ht="17" customHeight="1" x14ac:dyDescent="0.15"/>
    <row r="394" ht="17" customHeight="1" x14ac:dyDescent="0.15"/>
    <row r="395" ht="17" customHeight="1" x14ac:dyDescent="0.15"/>
    <row r="396" ht="17" customHeight="1" x14ac:dyDescent="0.15"/>
    <row r="397" ht="17" customHeight="1" x14ac:dyDescent="0.15"/>
    <row r="398" ht="17" customHeight="1" x14ac:dyDescent="0.15"/>
    <row r="399" ht="17" customHeight="1" x14ac:dyDescent="0.15"/>
    <row r="400" ht="17" customHeight="1" x14ac:dyDescent="0.15"/>
    <row r="401" ht="17" customHeight="1" x14ac:dyDescent="0.15"/>
    <row r="402" ht="17" customHeight="1" x14ac:dyDescent="0.15"/>
    <row r="403" ht="17" customHeight="1" x14ac:dyDescent="0.15"/>
    <row r="404" ht="17" customHeight="1" x14ac:dyDescent="0.15"/>
    <row r="405" ht="17" customHeight="1" x14ac:dyDescent="0.15"/>
    <row r="406" ht="17" customHeight="1" x14ac:dyDescent="0.15"/>
    <row r="407" ht="17" customHeight="1" x14ac:dyDescent="0.15"/>
    <row r="408" ht="17" customHeight="1" x14ac:dyDescent="0.15"/>
    <row r="409" ht="17" customHeight="1" x14ac:dyDescent="0.15"/>
    <row r="410" ht="17" customHeight="1" x14ac:dyDescent="0.15"/>
    <row r="411" ht="17" customHeight="1" x14ac:dyDescent="0.15"/>
    <row r="412" ht="17" customHeight="1" x14ac:dyDescent="0.15"/>
    <row r="413" ht="17" customHeight="1" x14ac:dyDescent="0.15"/>
    <row r="414" ht="17" customHeight="1" x14ac:dyDescent="0.15"/>
    <row r="415" ht="17" customHeight="1" x14ac:dyDescent="0.15"/>
    <row r="416" ht="17" customHeight="1" x14ac:dyDescent="0.15"/>
    <row r="417" ht="17" customHeight="1" x14ac:dyDescent="0.15"/>
    <row r="418" ht="17" customHeight="1" x14ac:dyDescent="0.15"/>
    <row r="419" ht="17" customHeight="1" x14ac:dyDescent="0.15"/>
    <row r="420" ht="17" customHeight="1" x14ac:dyDescent="0.15"/>
    <row r="421" ht="17" customHeight="1" x14ac:dyDescent="0.15"/>
    <row r="422" ht="17" customHeight="1" x14ac:dyDescent="0.15"/>
    <row r="423" ht="17" customHeight="1" x14ac:dyDescent="0.15"/>
    <row r="424" ht="17" customHeight="1" x14ac:dyDescent="0.15"/>
    <row r="425" ht="17" customHeight="1" x14ac:dyDescent="0.15"/>
    <row r="426" ht="17" customHeight="1" x14ac:dyDescent="0.15"/>
    <row r="427" ht="17" customHeight="1" x14ac:dyDescent="0.15"/>
    <row r="428" ht="17" customHeight="1" x14ac:dyDescent="0.15"/>
    <row r="429" ht="17" customHeight="1" x14ac:dyDescent="0.15"/>
    <row r="430" ht="17" customHeight="1" x14ac:dyDescent="0.15"/>
    <row r="431" ht="17" customHeight="1" x14ac:dyDescent="0.15"/>
    <row r="432" ht="17" customHeight="1" x14ac:dyDescent="0.15"/>
    <row r="433" ht="17" customHeight="1" x14ac:dyDescent="0.15"/>
    <row r="434" ht="17" customHeight="1" x14ac:dyDescent="0.15"/>
    <row r="435" ht="17" customHeight="1" x14ac:dyDescent="0.15"/>
    <row r="436" ht="17" customHeight="1" x14ac:dyDescent="0.15"/>
    <row r="437" ht="17" customHeight="1" x14ac:dyDescent="0.15"/>
    <row r="438" ht="17" customHeight="1" x14ac:dyDescent="0.15"/>
    <row r="439" ht="17" customHeight="1" x14ac:dyDescent="0.15"/>
    <row r="440" ht="17" customHeight="1" x14ac:dyDescent="0.15"/>
    <row r="441" ht="17" customHeight="1" x14ac:dyDescent="0.15"/>
    <row r="442" ht="17" customHeight="1" x14ac:dyDescent="0.15"/>
    <row r="443" ht="17" customHeight="1" x14ac:dyDescent="0.15"/>
    <row r="444" ht="17" customHeight="1" x14ac:dyDescent="0.15"/>
    <row r="445" ht="17" customHeight="1" x14ac:dyDescent="0.15"/>
    <row r="446" ht="17" customHeight="1" x14ac:dyDescent="0.15"/>
    <row r="447" ht="17" customHeight="1" x14ac:dyDescent="0.15"/>
    <row r="448" ht="17" customHeight="1" x14ac:dyDescent="0.15"/>
    <row r="449" ht="17" customHeight="1" x14ac:dyDescent="0.15"/>
    <row r="450" ht="17" customHeight="1" x14ac:dyDescent="0.15"/>
    <row r="451" ht="17" customHeight="1" x14ac:dyDescent="0.15"/>
    <row r="452" ht="17" customHeight="1" x14ac:dyDescent="0.15"/>
    <row r="453" ht="17" customHeight="1" x14ac:dyDescent="0.15"/>
    <row r="454" ht="17" customHeight="1" x14ac:dyDescent="0.15"/>
    <row r="455" ht="17" customHeight="1" x14ac:dyDescent="0.15"/>
    <row r="456" ht="17" customHeight="1" x14ac:dyDescent="0.15"/>
    <row r="457" ht="17" customHeight="1" x14ac:dyDescent="0.15"/>
    <row r="458" ht="17" customHeight="1" x14ac:dyDescent="0.15"/>
    <row r="459" ht="17" customHeight="1" x14ac:dyDescent="0.15"/>
    <row r="460" ht="17" customHeight="1" x14ac:dyDescent="0.15"/>
    <row r="461" ht="17" customHeight="1" x14ac:dyDescent="0.15"/>
    <row r="462" ht="17" customHeight="1" x14ac:dyDescent="0.15"/>
    <row r="463" ht="17" customHeight="1" x14ac:dyDescent="0.15"/>
    <row r="464" ht="17" customHeight="1" x14ac:dyDescent="0.15"/>
    <row r="465" ht="17" customHeight="1" x14ac:dyDescent="0.15"/>
    <row r="466" ht="17" customHeight="1" x14ac:dyDescent="0.15"/>
    <row r="467" ht="17" customHeight="1" x14ac:dyDescent="0.15"/>
    <row r="468" ht="17" customHeight="1" x14ac:dyDescent="0.15"/>
    <row r="469" ht="17" customHeight="1" x14ac:dyDescent="0.15"/>
    <row r="470" ht="17" customHeight="1" x14ac:dyDescent="0.15"/>
    <row r="471" ht="17" customHeight="1" x14ac:dyDescent="0.15"/>
    <row r="472" ht="17" customHeight="1" x14ac:dyDescent="0.15"/>
    <row r="473" ht="17" customHeight="1" x14ac:dyDescent="0.15"/>
    <row r="474" ht="17" customHeight="1" x14ac:dyDescent="0.15"/>
    <row r="475" ht="17" customHeight="1" x14ac:dyDescent="0.15"/>
    <row r="476" ht="17" customHeight="1" x14ac:dyDescent="0.15"/>
    <row r="477" ht="17" customHeight="1" x14ac:dyDescent="0.15"/>
    <row r="478" ht="17" customHeight="1" x14ac:dyDescent="0.15"/>
    <row r="479" ht="17" customHeight="1" x14ac:dyDescent="0.15"/>
    <row r="480" ht="17" customHeight="1" x14ac:dyDescent="0.15"/>
    <row r="481" ht="17" customHeight="1" x14ac:dyDescent="0.15"/>
    <row r="482" ht="17" customHeight="1" x14ac:dyDescent="0.15"/>
    <row r="483" ht="17" customHeight="1" x14ac:dyDescent="0.15"/>
    <row r="484" ht="17" customHeight="1" x14ac:dyDescent="0.15"/>
    <row r="485" ht="17" customHeight="1" x14ac:dyDescent="0.15"/>
    <row r="486" ht="17" customHeight="1" x14ac:dyDescent="0.15"/>
    <row r="487" ht="17" customHeight="1" x14ac:dyDescent="0.15"/>
    <row r="488" ht="17" customHeight="1" x14ac:dyDescent="0.15"/>
    <row r="489" ht="17" customHeight="1" x14ac:dyDescent="0.15"/>
    <row r="490" ht="17" customHeight="1" x14ac:dyDescent="0.15"/>
    <row r="491" ht="17" customHeight="1" x14ac:dyDescent="0.15"/>
    <row r="492" ht="17" customHeight="1" x14ac:dyDescent="0.15"/>
    <row r="493" ht="17" customHeight="1" x14ac:dyDescent="0.15"/>
    <row r="494" ht="17" customHeight="1" x14ac:dyDescent="0.15"/>
    <row r="495" ht="17" customHeight="1" x14ac:dyDescent="0.15"/>
    <row r="496" ht="17" customHeight="1" x14ac:dyDescent="0.15"/>
    <row r="497" ht="17" customHeight="1" x14ac:dyDescent="0.15"/>
    <row r="498" ht="17" customHeight="1" x14ac:dyDescent="0.15"/>
    <row r="499" ht="17" customHeight="1" x14ac:dyDescent="0.15"/>
    <row r="500" ht="17" customHeight="1" x14ac:dyDescent="0.15"/>
    <row r="501" ht="17" customHeight="1" x14ac:dyDescent="0.15"/>
    <row r="502" ht="17" customHeight="1" x14ac:dyDescent="0.15"/>
    <row r="503" ht="17" customHeight="1" x14ac:dyDescent="0.15"/>
    <row r="504" ht="17" customHeight="1" x14ac:dyDescent="0.15"/>
    <row r="505" ht="17" customHeight="1" x14ac:dyDescent="0.15"/>
    <row r="506" ht="17" customHeight="1" x14ac:dyDescent="0.15"/>
    <row r="507" ht="17" customHeight="1" x14ac:dyDescent="0.15"/>
    <row r="508" ht="17" customHeight="1" x14ac:dyDescent="0.15"/>
    <row r="509" ht="17" customHeight="1" x14ac:dyDescent="0.15"/>
    <row r="510" ht="17" customHeight="1" x14ac:dyDescent="0.15"/>
    <row r="511" ht="17" customHeight="1" x14ac:dyDescent="0.15"/>
    <row r="512" ht="17" customHeight="1" x14ac:dyDescent="0.15"/>
    <row r="513" ht="17" customHeight="1" x14ac:dyDescent="0.15"/>
    <row r="514" ht="17" customHeight="1" x14ac:dyDescent="0.15"/>
    <row r="515" ht="17" customHeight="1" x14ac:dyDescent="0.15"/>
    <row r="516" ht="17" customHeight="1" x14ac:dyDescent="0.15"/>
    <row r="517" ht="17" customHeight="1" x14ac:dyDescent="0.15"/>
    <row r="518" ht="17" customHeight="1" x14ac:dyDescent="0.15"/>
    <row r="519" ht="17" customHeight="1" x14ac:dyDescent="0.15"/>
    <row r="520" ht="17" customHeight="1" x14ac:dyDescent="0.15"/>
    <row r="521" ht="17" customHeight="1" x14ac:dyDescent="0.15"/>
    <row r="522" ht="17" customHeight="1" x14ac:dyDescent="0.15"/>
    <row r="523" ht="17" customHeight="1" x14ac:dyDescent="0.15"/>
    <row r="524" ht="17" customHeight="1" x14ac:dyDescent="0.15"/>
    <row r="525" ht="17" customHeight="1" x14ac:dyDescent="0.15"/>
    <row r="526" ht="17" customHeight="1" x14ac:dyDescent="0.15"/>
    <row r="527" ht="17" customHeight="1" x14ac:dyDescent="0.15"/>
    <row r="528" ht="17" customHeight="1" x14ac:dyDescent="0.15"/>
    <row r="529" ht="17" customHeight="1" x14ac:dyDescent="0.15"/>
    <row r="530" ht="17" customHeight="1" x14ac:dyDescent="0.15"/>
    <row r="531" ht="17" customHeight="1" x14ac:dyDescent="0.15"/>
    <row r="532" ht="17" customHeight="1" x14ac:dyDescent="0.15"/>
    <row r="533" ht="17" customHeight="1" x14ac:dyDescent="0.15"/>
    <row r="534" ht="17" customHeight="1" x14ac:dyDescent="0.15"/>
    <row r="535" ht="17" customHeight="1" x14ac:dyDescent="0.15"/>
    <row r="536" ht="17" customHeight="1" x14ac:dyDescent="0.15"/>
    <row r="537" ht="17" customHeight="1" x14ac:dyDescent="0.15"/>
    <row r="538" ht="17" customHeight="1" x14ac:dyDescent="0.15"/>
    <row r="539" ht="17" customHeight="1" x14ac:dyDescent="0.15"/>
    <row r="540" ht="17" customHeight="1" x14ac:dyDescent="0.15"/>
    <row r="541" ht="17" customHeight="1" x14ac:dyDescent="0.15"/>
    <row r="542" ht="17" customHeight="1" x14ac:dyDescent="0.15"/>
    <row r="543" ht="17" customHeight="1" x14ac:dyDescent="0.15"/>
    <row r="544" ht="17" customHeight="1" x14ac:dyDescent="0.15"/>
    <row r="545" ht="17" customHeight="1" x14ac:dyDescent="0.15"/>
    <row r="546" ht="17" customHeight="1" x14ac:dyDescent="0.15"/>
    <row r="547" ht="17" customHeight="1" x14ac:dyDescent="0.15"/>
    <row r="548" ht="17" customHeight="1" x14ac:dyDescent="0.15"/>
    <row r="549" ht="17" customHeight="1" x14ac:dyDescent="0.15"/>
    <row r="550" ht="17" customHeight="1" x14ac:dyDescent="0.15"/>
    <row r="551" ht="17" customHeight="1" x14ac:dyDescent="0.15"/>
    <row r="552" ht="17" customHeight="1" x14ac:dyDescent="0.15"/>
    <row r="553" ht="17" customHeight="1" x14ac:dyDescent="0.15"/>
    <row r="554" ht="17" customHeight="1" x14ac:dyDescent="0.15"/>
    <row r="555" ht="17" customHeight="1" x14ac:dyDescent="0.15"/>
    <row r="556" ht="17" customHeight="1" x14ac:dyDescent="0.15"/>
    <row r="557" ht="17" customHeight="1" x14ac:dyDescent="0.15"/>
    <row r="558" ht="17" customHeight="1" x14ac:dyDescent="0.15"/>
    <row r="559" ht="17" customHeight="1" x14ac:dyDescent="0.15"/>
    <row r="560" ht="17" customHeight="1" x14ac:dyDescent="0.15"/>
    <row r="561" ht="17" customHeight="1" x14ac:dyDescent="0.15"/>
    <row r="562" ht="17" customHeight="1" x14ac:dyDescent="0.15"/>
    <row r="563" ht="17" customHeight="1" x14ac:dyDescent="0.15"/>
    <row r="564" ht="17" customHeight="1" x14ac:dyDescent="0.15"/>
    <row r="565" ht="17" customHeight="1" x14ac:dyDescent="0.15"/>
    <row r="566" ht="17" customHeight="1" x14ac:dyDescent="0.15"/>
    <row r="567" ht="17" customHeight="1" x14ac:dyDescent="0.15"/>
    <row r="568" ht="17" customHeight="1" x14ac:dyDescent="0.15"/>
    <row r="569" ht="17" customHeight="1" x14ac:dyDescent="0.15"/>
    <row r="570" ht="17" customHeight="1" x14ac:dyDescent="0.15"/>
    <row r="571" ht="17" customHeight="1" x14ac:dyDescent="0.15"/>
    <row r="572" ht="17" customHeight="1" x14ac:dyDescent="0.15"/>
    <row r="573" ht="17" customHeight="1" x14ac:dyDescent="0.15"/>
    <row r="574" ht="17" customHeight="1" x14ac:dyDescent="0.15"/>
    <row r="575" ht="17" customHeight="1" x14ac:dyDescent="0.15"/>
    <row r="576" ht="17" customHeight="1" x14ac:dyDescent="0.15"/>
    <row r="577" ht="17" customHeight="1" x14ac:dyDescent="0.15"/>
    <row r="578" ht="17" customHeight="1" x14ac:dyDescent="0.15"/>
    <row r="579" ht="17" customHeight="1" x14ac:dyDescent="0.15"/>
    <row r="580" ht="17" customHeight="1" x14ac:dyDescent="0.15"/>
    <row r="581" ht="17" customHeight="1" x14ac:dyDescent="0.15"/>
    <row r="582" ht="17" customHeight="1" x14ac:dyDescent="0.15"/>
    <row r="583" ht="17" customHeight="1" x14ac:dyDescent="0.15"/>
    <row r="584" ht="17" customHeight="1" x14ac:dyDescent="0.15"/>
    <row r="585" ht="17" customHeight="1" x14ac:dyDescent="0.15"/>
    <row r="586" ht="17" customHeight="1" x14ac:dyDescent="0.15"/>
    <row r="587" ht="17" customHeight="1" x14ac:dyDescent="0.15"/>
    <row r="588" ht="17" customHeight="1" x14ac:dyDescent="0.15"/>
    <row r="589" ht="17" customHeight="1" x14ac:dyDescent="0.15"/>
    <row r="590" ht="17" customHeight="1" x14ac:dyDescent="0.15"/>
    <row r="591" ht="17" customHeight="1" x14ac:dyDescent="0.15"/>
    <row r="592" ht="17" customHeight="1" x14ac:dyDescent="0.15"/>
    <row r="593" ht="17" customHeight="1" x14ac:dyDescent="0.15"/>
    <row r="594" ht="17" customHeight="1" x14ac:dyDescent="0.15"/>
    <row r="595" ht="17" customHeight="1" x14ac:dyDescent="0.15"/>
    <row r="596" ht="17" customHeight="1" x14ac:dyDescent="0.15"/>
    <row r="597" ht="17" customHeight="1" x14ac:dyDescent="0.15"/>
    <row r="598" ht="17" customHeight="1" x14ac:dyDescent="0.15"/>
    <row r="599" ht="17" customHeight="1" x14ac:dyDescent="0.15"/>
    <row r="600" ht="17" customHeight="1" x14ac:dyDescent="0.15"/>
    <row r="601" ht="17" customHeight="1" x14ac:dyDescent="0.15"/>
    <row r="602" ht="17" customHeight="1" x14ac:dyDescent="0.15"/>
    <row r="603" ht="17" customHeight="1" x14ac:dyDescent="0.15"/>
    <row r="604" ht="17" customHeight="1" x14ac:dyDescent="0.15"/>
    <row r="605" ht="17" customHeight="1" x14ac:dyDescent="0.15"/>
    <row r="606" ht="17" customHeight="1" x14ac:dyDescent="0.15"/>
    <row r="607" ht="17" customHeight="1" x14ac:dyDescent="0.15"/>
    <row r="608" ht="17" customHeight="1" x14ac:dyDescent="0.15"/>
    <row r="609" ht="17" customHeight="1" x14ac:dyDescent="0.15"/>
    <row r="610" ht="17" customHeight="1" x14ac:dyDescent="0.15"/>
    <row r="611" ht="17" customHeight="1" x14ac:dyDescent="0.15"/>
    <row r="612" ht="17" customHeight="1" x14ac:dyDescent="0.15"/>
    <row r="613" ht="17" customHeight="1" x14ac:dyDescent="0.15"/>
    <row r="614" ht="17" customHeight="1" x14ac:dyDescent="0.15"/>
    <row r="615" ht="17" customHeight="1" x14ac:dyDescent="0.15"/>
    <row r="616" ht="17" customHeight="1" x14ac:dyDescent="0.15"/>
    <row r="617" ht="17" customHeight="1" x14ac:dyDescent="0.15"/>
    <row r="618" ht="17" customHeight="1" x14ac:dyDescent="0.15"/>
    <row r="619" ht="17" customHeight="1" x14ac:dyDescent="0.15"/>
    <row r="620" ht="17" customHeight="1" x14ac:dyDescent="0.15"/>
    <row r="621" ht="17" customHeight="1" x14ac:dyDescent="0.15"/>
    <row r="622" ht="17" customHeight="1" x14ac:dyDescent="0.15"/>
    <row r="623" ht="17" customHeight="1" x14ac:dyDescent="0.15"/>
    <row r="624" ht="17" customHeight="1" x14ac:dyDescent="0.15"/>
    <row r="625" ht="17" customHeight="1" x14ac:dyDescent="0.15"/>
    <row r="626" ht="17" customHeight="1" x14ac:dyDescent="0.15"/>
    <row r="627" ht="17" customHeight="1" x14ac:dyDescent="0.15"/>
    <row r="628" ht="17" customHeight="1" x14ac:dyDescent="0.15"/>
    <row r="629" ht="17" customHeight="1" x14ac:dyDescent="0.15"/>
    <row r="630" ht="17" customHeight="1" x14ac:dyDescent="0.15"/>
    <row r="631" ht="17" customHeight="1" x14ac:dyDescent="0.15"/>
    <row r="632" ht="17" customHeight="1" x14ac:dyDescent="0.15"/>
    <row r="633" ht="17" customHeight="1" x14ac:dyDescent="0.15"/>
    <row r="634" ht="17" customHeight="1" x14ac:dyDescent="0.15"/>
    <row r="635" ht="17" customHeight="1" x14ac:dyDescent="0.15"/>
    <row r="636" ht="17" customHeight="1" x14ac:dyDescent="0.15"/>
    <row r="637" ht="17" customHeight="1" x14ac:dyDescent="0.15"/>
    <row r="638" ht="17" customHeight="1" x14ac:dyDescent="0.15"/>
    <row r="639" ht="17" customHeight="1" x14ac:dyDescent="0.15"/>
    <row r="640" ht="17" customHeight="1" x14ac:dyDescent="0.15"/>
    <row r="641" ht="17" customHeight="1" x14ac:dyDescent="0.15"/>
    <row r="642" ht="17" customHeight="1" x14ac:dyDescent="0.15"/>
    <row r="643" ht="17" customHeight="1" x14ac:dyDescent="0.15"/>
    <row r="644" ht="17" customHeight="1" x14ac:dyDescent="0.15"/>
    <row r="645" ht="17" customHeight="1" x14ac:dyDescent="0.15"/>
    <row r="646" ht="17" customHeight="1" x14ac:dyDescent="0.15"/>
    <row r="647" ht="17" customHeight="1" x14ac:dyDescent="0.15"/>
    <row r="648" ht="17" customHeight="1" x14ac:dyDescent="0.15"/>
    <row r="649" ht="17" customHeight="1" x14ac:dyDescent="0.15"/>
    <row r="650" ht="17" customHeight="1" x14ac:dyDescent="0.15"/>
    <row r="651" ht="17" customHeight="1" x14ac:dyDescent="0.15"/>
    <row r="652" ht="17" customHeight="1" x14ac:dyDescent="0.15"/>
    <row r="653" ht="17" customHeight="1" x14ac:dyDescent="0.15"/>
    <row r="654" ht="17" customHeight="1" x14ac:dyDescent="0.15"/>
    <row r="655" ht="17" customHeight="1" x14ac:dyDescent="0.15"/>
    <row r="656" ht="17" customHeight="1" x14ac:dyDescent="0.15"/>
    <row r="657" ht="17" customHeight="1" x14ac:dyDescent="0.15"/>
    <row r="658" ht="17" customHeight="1" x14ac:dyDescent="0.15"/>
    <row r="659" ht="17" customHeight="1" x14ac:dyDescent="0.15"/>
    <row r="660" ht="17" customHeight="1" x14ac:dyDescent="0.15"/>
    <row r="661" ht="17" customHeight="1" x14ac:dyDescent="0.15"/>
    <row r="662" ht="17" customHeight="1" x14ac:dyDescent="0.15"/>
    <row r="663" ht="17" customHeight="1" x14ac:dyDescent="0.15"/>
    <row r="664" ht="17" customHeight="1" x14ac:dyDescent="0.15"/>
    <row r="665" ht="17" customHeight="1" x14ac:dyDescent="0.15"/>
    <row r="666" ht="17" customHeight="1" x14ac:dyDescent="0.15"/>
    <row r="667" ht="17" customHeight="1" x14ac:dyDescent="0.15"/>
    <row r="668" ht="17" customHeight="1" x14ac:dyDescent="0.15"/>
    <row r="669" ht="17" customHeight="1" x14ac:dyDescent="0.15"/>
    <row r="670" ht="17" customHeight="1" x14ac:dyDescent="0.15"/>
    <row r="671" ht="17" customHeight="1" x14ac:dyDescent="0.15"/>
    <row r="672" ht="17" customHeight="1" x14ac:dyDescent="0.15"/>
    <row r="673" ht="17" customHeight="1" x14ac:dyDescent="0.15"/>
    <row r="674" ht="17" customHeight="1" x14ac:dyDescent="0.15"/>
    <row r="675" ht="17" customHeight="1" x14ac:dyDescent="0.15"/>
    <row r="676" ht="17" customHeight="1" x14ac:dyDescent="0.15"/>
    <row r="677" ht="17" customHeight="1" x14ac:dyDescent="0.15"/>
    <row r="678" ht="17" customHeight="1" x14ac:dyDescent="0.15"/>
    <row r="679" ht="17" customHeight="1" x14ac:dyDescent="0.15"/>
    <row r="680" ht="17" customHeight="1" x14ac:dyDescent="0.15"/>
    <row r="681" ht="17" customHeight="1" x14ac:dyDescent="0.15"/>
    <row r="682" ht="17" customHeight="1" x14ac:dyDescent="0.15"/>
    <row r="683" ht="17" customHeight="1" x14ac:dyDescent="0.15"/>
    <row r="684" ht="17" customHeight="1" x14ac:dyDescent="0.15"/>
    <row r="685" ht="17" customHeight="1" x14ac:dyDescent="0.15"/>
    <row r="686" ht="17" customHeight="1" x14ac:dyDescent="0.15"/>
    <row r="687" ht="17" customHeight="1" x14ac:dyDescent="0.15"/>
    <row r="688" ht="17" customHeight="1" x14ac:dyDescent="0.15"/>
    <row r="689" ht="17" customHeight="1" x14ac:dyDescent="0.15"/>
    <row r="690" ht="17" customHeight="1" x14ac:dyDescent="0.15"/>
    <row r="691" ht="17" customHeight="1" x14ac:dyDescent="0.15"/>
    <row r="692" ht="17" customHeight="1" x14ac:dyDescent="0.15"/>
    <row r="693" ht="17" customHeight="1" x14ac:dyDescent="0.15"/>
    <row r="694" ht="17" customHeight="1" x14ac:dyDescent="0.15"/>
    <row r="695" ht="17" customHeight="1" x14ac:dyDescent="0.15"/>
    <row r="696" ht="17" customHeight="1" x14ac:dyDescent="0.15"/>
    <row r="697" ht="17" customHeight="1" x14ac:dyDescent="0.15"/>
    <row r="698" ht="17" customHeight="1" x14ac:dyDescent="0.15"/>
    <row r="699" ht="17" customHeight="1" x14ac:dyDescent="0.15"/>
    <row r="700" ht="17" customHeight="1" x14ac:dyDescent="0.15"/>
    <row r="701" ht="17" customHeight="1" x14ac:dyDescent="0.15"/>
    <row r="702" ht="17" customHeight="1" x14ac:dyDescent="0.15"/>
    <row r="703" ht="17" customHeight="1" x14ac:dyDescent="0.15"/>
    <row r="704" ht="17" customHeight="1" x14ac:dyDescent="0.15"/>
    <row r="705" ht="17" customHeight="1" x14ac:dyDescent="0.15"/>
    <row r="706" ht="17" customHeight="1" x14ac:dyDescent="0.15"/>
    <row r="707" ht="17" customHeight="1" x14ac:dyDescent="0.15"/>
    <row r="708" ht="17" customHeight="1" x14ac:dyDescent="0.15"/>
    <row r="709" ht="17" customHeight="1" x14ac:dyDescent="0.15"/>
    <row r="710" ht="17" customHeight="1" x14ac:dyDescent="0.15"/>
    <row r="711" ht="17" customHeight="1" x14ac:dyDescent="0.15"/>
    <row r="712" ht="17" customHeight="1" x14ac:dyDescent="0.15"/>
    <row r="713" ht="17" customHeight="1" x14ac:dyDescent="0.15"/>
    <row r="714" ht="17" customHeight="1" x14ac:dyDescent="0.15"/>
    <row r="715" ht="17" customHeight="1" x14ac:dyDescent="0.15"/>
    <row r="716" ht="17" customHeight="1" x14ac:dyDescent="0.15"/>
    <row r="717" ht="17" customHeight="1" x14ac:dyDescent="0.15"/>
    <row r="718" ht="17" customHeight="1" x14ac:dyDescent="0.15"/>
    <row r="719" ht="17" customHeight="1" x14ac:dyDescent="0.15"/>
    <row r="720" ht="17" customHeight="1" x14ac:dyDescent="0.15"/>
    <row r="721" ht="17" customHeight="1" x14ac:dyDescent="0.15"/>
    <row r="722" ht="17" customHeight="1" x14ac:dyDescent="0.15"/>
    <row r="723" ht="17" customHeight="1" x14ac:dyDescent="0.15"/>
    <row r="724" ht="17" customHeight="1" x14ac:dyDescent="0.15"/>
    <row r="725" ht="17" customHeight="1" x14ac:dyDescent="0.15"/>
    <row r="726" ht="17" customHeight="1" x14ac:dyDescent="0.15"/>
    <row r="727" ht="17" customHeight="1" x14ac:dyDescent="0.15"/>
    <row r="728" ht="17" customHeight="1" x14ac:dyDescent="0.15"/>
    <row r="729" ht="17" customHeight="1" x14ac:dyDescent="0.15"/>
    <row r="730" ht="17" customHeight="1" x14ac:dyDescent="0.15"/>
    <row r="731" ht="17" customHeight="1" x14ac:dyDescent="0.15"/>
    <row r="732" ht="17" customHeight="1" x14ac:dyDescent="0.15"/>
    <row r="733" ht="17" customHeight="1" x14ac:dyDescent="0.15"/>
    <row r="734" ht="17" customHeight="1" x14ac:dyDescent="0.15"/>
    <row r="735" ht="17" customHeight="1" x14ac:dyDescent="0.15"/>
    <row r="736" ht="17" customHeight="1" x14ac:dyDescent="0.15"/>
    <row r="737" ht="17" customHeight="1" x14ac:dyDescent="0.15"/>
    <row r="738" ht="17" customHeight="1" x14ac:dyDescent="0.15"/>
    <row r="739" ht="17" customHeight="1" x14ac:dyDescent="0.15"/>
    <row r="740" ht="17" customHeight="1" x14ac:dyDescent="0.15"/>
    <row r="741" ht="17" customHeight="1" x14ac:dyDescent="0.15"/>
    <row r="742" ht="17" customHeight="1" x14ac:dyDescent="0.15"/>
    <row r="743" ht="17" customHeight="1" x14ac:dyDescent="0.15"/>
    <row r="744" ht="17" customHeight="1" x14ac:dyDescent="0.15"/>
    <row r="745" ht="17" customHeight="1" x14ac:dyDescent="0.15"/>
    <row r="746" ht="17" customHeight="1" x14ac:dyDescent="0.15"/>
    <row r="747" ht="17" customHeight="1" x14ac:dyDescent="0.15"/>
    <row r="748" ht="17" customHeight="1" x14ac:dyDescent="0.15"/>
    <row r="749" ht="17" customHeight="1" x14ac:dyDescent="0.15"/>
    <row r="750" ht="17" customHeight="1" x14ac:dyDescent="0.15"/>
    <row r="751" ht="17" customHeight="1" x14ac:dyDescent="0.15"/>
    <row r="752" ht="17" customHeight="1" x14ac:dyDescent="0.15"/>
    <row r="753" ht="17" customHeight="1" x14ac:dyDescent="0.15"/>
    <row r="754" ht="17" customHeight="1" x14ac:dyDescent="0.15"/>
    <row r="755" ht="17" customHeight="1" x14ac:dyDescent="0.15"/>
    <row r="756" ht="17" customHeight="1" x14ac:dyDescent="0.15"/>
    <row r="757" ht="17" customHeight="1" x14ac:dyDescent="0.15"/>
    <row r="758" ht="17" customHeight="1" x14ac:dyDescent="0.15"/>
    <row r="759" ht="17" customHeight="1" x14ac:dyDescent="0.15"/>
    <row r="760" ht="17" customHeight="1" x14ac:dyDescent="0.15"/>
    <row r="761" ht="17" customHeight="1" x14ac:dyDescent="0.15"/>
    <row r="762" ht="17" customHeight="1" x14ac:dyDescent="0.15"/>
    <row r="763" ht="17" customHeight="1" x14ac:dyDescent="0.15"/>
    <row r="764" ht="17" customHeight="1" x14ac:dyDescent="0.15"/>
    <row r="765" ht="17" customHeight="1" x14ac:dyDescent="0.15"/>
    <row r="766" ht="17" customHeight="1" x14ac:dyDescent="0.15"/>
    <row r="767" ht="17" customHeight="1" x14ac:dyDescent="0.15"/>
    <row r="768" ht="17" customHeight="1" x14ac:dyDescent="0.15"/>
    <row r="769" ht="17" customHeight="1" x14ac:dyDescent="0.15"/>
    <row r="770" ht="17" customHeight="1" x14ac:dyDescent="0.15"/>
    <row r="771" ht="17" customHeight="1" x14ac:dyDescent="0.15"/>
    <row r="772" ht="17" customHeight="1" x14ac:dyDescent="0.15"/>
    <row r="773" ht="17" customHeight="1" x14ac:dyDescent="0.15"/>
    <row r="774" ht="17" customHeight="1" x14ac:dyDescent="0.15"/>
    <row r="775" ht="17" customHeight="1" x14ac:dyDescent="0.15"/>
    <row r="776" ht="17" customHeight="1" x14ac:dyDescent="0.15"/>
    <row r="777" ht="17" customHeight="1" x14ac:dyDescent="0.15"/>
    <row r="778" ht="17" customHeight="1" x14ac:dyDescent="0.15"/>
    <row r="779" ht="17" customHeight="1" x14ac:dyDescent="0.15"/>
    <row r="780" ht="17" customHeight="1" x14ac:dyDescent="0.15"/>
    <row r="781" ht="17" customHeight="1" x14ac:dyDescent="0.15"/>
    <row r="782" ht="17" customHeight="1" x14ac:dyDescent="0.15"/>
    <row r="783" ht="17" customHeight="1" x14ac:dyDescent="0.15"/>
    <row r="784" ht="17" customHeight="1" x14ac:dyDescent="0.15"/>
    <row r="785" ht="17" customHeight="1" x14ac:dyDescent="0.15"/>
    <row r="786" ht="17" customHeight="1" x14ac:dyDescent="0.15"/>
    <row r="787" ht="17" customHeight="1" x14ac:dyDescent="0.15"/>
    <row r="788" ht="17" customHeight="1" x14ac:dyDescent="0.15"/>
    <row r="789" ht="17" customHeight="1" x14ac:dyDescent="0.15"/>
    <row r="790" ht="17" customHeight="1" x14ac:dyDescent="0.15"/>
    <row r="791" ht="17" customHeight="1" x14ac:dyDescent="0.15"/>
    <row r="792" ht="17" customHeight="1" x14ac:dyDescent="0.15"/>
    <row r="793" ht="17" customHeight="1" x14ac:dyDescent="0.15"/>
    <row r="794" ht="17" customHeight="1" x14ac:dyDescent="0.15"/>
    <row r="795" ht="17" customHeight="1" x14ac:dyDescent="0.15"/>
    <row r="796" ht="17" customHeight="1" x14ac:dyDescent="0.15"/>
    <row r="797" ht="17" customHeight="1" x14ac:dyDescent="0.15"/>
    <row r="798" ht="17" customHeight="1" x14ac:dyDescent="0.15"/>
    <row r="799" ht="17" customHeight="1" x14ac:dyDescent="0.15"/>
    <row r="800" ht="17" customHeight="1" x14ac:dyDescent="0.15"/>
    <row r="801" ht="17" customHeight="1" x14ac:dyDescent="0.15"/>
    <row r="802" ht="17" customHeight="1" x14ac:dyDescent="0.15"/>
    <row r="803" ht="17" customHeight="1" x14ac:dyDescent="0.15"/>
    <row r="804" ht="17" customHeight="1" x14ac:dyDescent="0.15"/>
    <row r="805" ht="17" customHeight="1" x14ac:dyDescent="0.15"/>
    <row r="806" ht="17" customHeight="1" x14ac:dyDescent="0.15"/>
    <row r="807" ht="17" customHeight="1" x14ac:dyDescent="0.15"/>
    <row r="808" ht="17" customHeight="1" x14ac:dyDescent="0.15"/>
    <row r="809" ht="17" customHeight="1" x14ac:dyDescent="0.15"/>
    <row r="810" ht="17" customHeight="1" x14ac:dyDescent="0.15"/>
    <row r="811" ht="17" customHeight="1" x14ac:dyDescent="0.15"/>
    <row r="812" ht="17" customHeight="1" x14ac:dyDescent="0.15"/>
    <row r="813" ht="17" customHeight="1" x14ac:dyDescent="0.15"/>
    <row r="814" ht="17" customHeight="1" x14ac:dyDescent="0.15"/>
    <row r="815" ht="17" customHeight="1" x14ac:dyDescent="0.15"/>
    <row r="816" ht="17" customHeight="1" x14ac:dyDescent="0.15"/>
    <row r="817" ht="17" customHeight="1" x14ac:dyDescent="0.15"/>
    <row r="818" ht="17" customHeight="1" x14ac:dyDescent="0.15"/>
    <row r="819" ht="17" customHeight="1" x14ac:dyDescent="0.15"/>
    <row r="820" ht="17" customHeight="1" x14ac:dyDescent="0.15"/>
    <row r="821" ht="17" customHeight="1" x14ac:dyDescent="0.15"/>
    <row r="822" ht="17" customHeight="1" x14ac:dyDescent="0.15"/>
    <row r="823" ht="17" customHeight="1" x14ac:dyDescent="0.15"/>
    <row r="824" ht="17" customHeight="1" x14ac:dyDescent="0.15"/>
    <row r="825" ht="17" customHeight="1" x14ac:dyDescent="0.15"/>
    <row r="826" ht="17" customHeight="1" x14ac:dyDescent="0.15"/>
    <row r="827" ht="17" customHeight="1" x14ac:dyDescent="0.15"/>
    <row r="828" ht="17" customHeight="1" x14ac:dyDescent="0.15"/>
    <row r="829" ht="17" customHeight="1" x14ac:dyDescent="0.15"/>
    <row r="830" ht="17" customHeight="1" x14ac:dyDescent="0.15"/>
    <row r="831" ht="17" customHeight="1" x14ac:dyDescent="0.15"/>
    <row r="832" ht="17" customHeight="1" x14ac:dyDescent="0.15"/>
    <row r="833" ht="17" customHeight="1" x14ac:dyDescent="0.15"/>
    <row r="834" ht="17" customHeight="1" x14ac:dyDescent="0.15"/>
    <row r="835" ht="17" customHeight="1" x14ac:dyDescent="0.15"/>
    <row r="836" ht="17" customHeight="1" x14ac:dyDescent="0.15"/>
    <row r="837" ht="17" customHeight="1" x14ac:dyDescent="0.15"/>
    <row r="838" ht="17" customHeight="1" x14ac:dyDescent="0.15"/>
    <row r="839" ht="17" customHeight="1" x14ac:dyDescent="0.15"/>
    <row r="840" ht="17" customHeight="1" x14ac:dyDescent="0.15"/>
    <row r="841" ht="17" customHeight="1" x14ac:dyDescent="0.15"/>
    <row r="842" ht="17" customHeight="1" x14ac:dyDescent="0.15"/>
    <row r="843" ht="17" customHeight="1" x14ac:dyDescent="0.15"/>
    <row r="844" ht="17" customHeight="1" x14ac:dyDescent="0.15"/>
    <row r="845" ht="17" customHeight="1" x14ac:dyDescent="0.15"/>
    <row r="846" ht="17" customHeight="1" x14ac:dyDescent="0.15"/>
    <row r="847" ht="17" customHeight="1" x14ac:dyDescent="0.15"/>
    <row r="848" ht="17" customHeight="1" x14ac:dyDescent="0.15"/>
    <row r="849" ht="17" customHeight="1" x14ac:dyDescent="0.15"/>
    <row r="850" ht="17" customHeight="1" x14ac:dyDescent="0.15"/>
    <row r="851" ht="17" customHeight="1" x14ac:dyDescent="0.15"/>
    <row r="852" ht="17" customHeight="1" x14ac:dyDescent="0.15"/>
    <row r="853" ht="17" customHeight="1" x14ac:dyDescent="0.15"/>
    <row r="854" ht="17" customHeight="1" x14ac:dyDescent="0.15"/>
    <row r="855" ht="17" customHeight="1" x14ac:dyDescent="0.15"/>
    <row r="856" ht="17" customHeight="1" x14ac:dyDescent="0.15"/>
    <row r="857" ht="17" customHeight="1" x14ac:dyDescent="0.15"/>
    <row r="858" ht="17" customHeight="1" x14ac:dyDescent="0.15"/>
    <row r="859" ht="17" customHeight="1" x14ac:dyDescent="0.15"/>
    <row r="860" ht="17" customHeight="1" x14ac:dyDescent="0.15"/>
    <row r="861" ht="17" customHeight="1" x14ac:dyDescent="0.15"/>
    <row r="862" ht="17" customHeight="1" x14ac:dyDescent="0.15"/>
    <row r="863" ht="17" customHeight="1" x14ac:dyDescent="0.15"/>
    <row r="864" ht="17" customHeight="1" x14ac:dyDescent="0.15"/>
    <row r="865" ht="17" customHeight="1" x14ac:dyDescent="0.15"/>
    <row r="866" ht="17" customHeight="1" x14ac:dyDescent="0.15"/>
    <row r="867" ht="17" customHeight="1" x14ac:dyDescent="0.15"/>
    <row r="868" ht="17" customHeight="1" x14ac:dyDescent="0.15"/>
    <row r="869" ht="17" customHeight="1" x14ac:dyDescent="0.15"/>
    <row r="870" ht="17" customHeight="1" x14ac:dyDescent="0.15"/>
    <row r="871" ht="17" customHeight="1" x14ac:dyDescent="0.15"/>
    <row r="872" ht="17" customHeight="1" x14ac:dyDescent="0.15"/>
    <row r="873" ht="17" customHeight="1" x14ac:dyDescent="0.15"/>
    <row r="874" ht="17" customHeight="1" x14ac:dyDescent="0.15"/>
    <row r="875" ht="17" customHeight="1" x14ac:dyDescent="0.15"/>
    <row r="876" ht="17" customHeight="1" x14ac:dyDescent="0.15"/>
    <row r="877" ht="17" customHeight="1" x14ac:dyDescent="0.15"/>
    <row r="878" ht="17" customHeight="1" x14ac:dyDescent="0.15"/>
    <row r="879" ht="17" customHeight="1" x14ac:dyDescent="0.15"/>
    <row r="880" ht="17" customHeight="1" x14ac:dyDescent="0.15"/>
    <row r="881" ht="17" customHeight="1" x14ac:dyDescent="0.15"/>
    <row r="882" ht="17" customHeight="1" x14ac:dyDescent="0.15"/>
    <row r="883" ht="17" customHeight="1" x14ac:dyDescent="0.15"/>
    <row r="884" ht="17" customHeight="1" x14ac:dyDescent="0.15"/>
    <row r="885" ht="17" customHeight="1" x14ac:dyDescent="0.15"/>
    <row r="886" ht="17" customHeight="1" x14ac:dyDescent="0.15"/>
    <row r="887" ht="17" customHeight="1" x14ac:dyDescent="0.15"/>
    <row r="888" ht="17" customHeight="1" x14ac:dyDescent="0.15"/>
    <row r="889" ht="17" customHeight="1" x14ac:dyDescent="0.15"/>
    <row r="890" ht="17" customHeight="1" x14ac:dyDescent="0.15"/>
    <row r="891" ht="17" customHeight="1" x14ac:dyDescent="0.15"/>
    <row r="892" ht="17" customHeight="1" x14ac:dyDescent="0.15"/>
    <row r="893" ht="17" customHeight="1" x14ac:dyDescent="0.15"/>
    <row r="894" ht="17" customHeight="1" x14ac:dyDescent="0.15"/>
    <row r="895" ht="17" customHeight="1" x14ac:dyDescent="0.15"/>
    <row r="896" ht="17" customHeight="1" x14ac:dyDescent="0.15"/>
    <row r="897" ht="17" customHeight="1" x14ac:dyDescent="0.15"/>
    <row r="898" ht="17" customHeight="1" x14ac:dyDescent="0.15"/>
    <row r="899" ht="17" customHeight="1" x14ac:dyDescent="0.15"/>
    <row r="900" ht="17" customHeight="1" x14ac:dyDescent="0.15"/>
    <row r="901" ht="17" customHeight="1" x14ac:dyDescent="0.15"/>
    <row r="902" ht="17" customHeight="1" x14ac:dyDescent="0.15"/>
    <row r="903" ht="17" customHeight="1" x14ac:dyDescent="0.15"/>
    <row r="904" ht="17" customHeight="1" x14ac:dyDescent="0.15"/>
    <row r="905" ht="17" customHeight="1" x14ac:dyDescent="0.15"/>
    <row r="906" ht="17" customHeight="1" x14ac:dyDescent="0.15"/>
    <row r="907" ht="17" customHeight="1" x14ac:dyDescent="0.15"/>
    <row r="908" ht="17" customHeight="1" x14ac:dyDescent="0.15"/>
    <row r="909" ht="17" customHeight="1" x14ac:dyDescent="0.15"/>
    <row r="910" ht="17" customHeight="1" x14ac:dyDescent="0.15"/>
    <row r="911" ht="17" customHeight="1" x14ac:dyDescent="0.15"/>
    <row r="912" ht="17" customHeight="1" x14ac:dyDescent="0.15"/>
    <row r="913" ht="17" customHeight="1" x14ac:dyDescent="0.15"/>
    <row r="914" ht="17" customHeight="1" x14ac:dyDescent="0.15"/>
    <row r="915" ht="17" customHeight="1" x14ac:dyDescent="0.15"/>
    <row r="916" ht="17" customHeight="1" x14ac:dyDescent="0.15"/>
    <row r="917" ht="17" customHeight="1" x14ac:dyDescent="0.15"/>
    <row r="918" ht="17" customHeight="1" x14ac:dyDescent="0.15"/>
    <row r="919" ht="17" customHeight="1" x14ac:dyDescent="0.15"/>
    <row r="920" ht="17" customHeight="1" x14ac:dyDescent="0.15"/>
    <row r="921" ht="17" customHeight="1" x14ac:dyDescent="0.15"/>
    <row r="922" ht="17" customHeight="1" x14ac:dyDescent="0.15"/>
    <row r="923" ht="17" customHeight="1" x14ac:dyDescent="0.15"/>
    <row r="924" ht="17" customHeight="1" x14ac:dyDescent="0.15"/>
    <row r="925" ht="17" customHeight="1" x14ac:dyDescent="0.15"/>
    <row r="926" ht="17" customHeight="1" x14ac:dyDescent="0.15"/>
    <row r="927" ht="17" customHeight="1" x14ac:dyDescent="0.15"/>
    <row r="928" ht="17" customHeight="1" x14ac:dyDescent="0.15"/>
    <row r="929" ht="17" customHeight="1" x14ac:dyDescent="0.15"/>
    <row r="930" ht="17" customHeight="1" x14ac:dyDescent="0.15"/>
    <row r="931" ht="17" customHeight="1" x14ac:dyDescent="0.15"/>
    <row r="932" ht="17" customHeight="1" x14ac:dyDescent="0.15"/>
    <row r="933" ht="17" customHeight="1" x14ac:dyDescent="0.15"/>
    <row r="934" ht="17" customHeight="1" x14ac:dyDescent="0.15"/>
    <row r="935" ht="17" customHeight="1" x14ac:dyDescent="0.15"/>
    <row r="936" ht="17" customHeight="1" x14ac:dyDescent="0.15"/>
    <row r="937" ht="17" customHeight="1" x14ac:dyDescent="0.15"/>
    <row r="938" ht="17" customHeight="1" x14ac:dyDescent="0.15"/>
    <row r="939" ht="17" customHeight="1" x14ac:dyDescent="0.15"/>
    <row r="940" ht="17" customHeight="1" x14ac:dyDescent="0.15"/>
    <row r="941" ht="17" customHeight="1" x14ac:dyDescent="0.15"/>
    <row r="942" ht="17" customHeight="1" x14ac:dyDescent="0.15"/>
    <row r="943" ht="17" customHeight="1" x14ac:dyDescent="0.15"/>
    <row r="944" ht="17" customHeight="1" x14ac:dyDescent="0.15"/>
    <row r="945" ht="17" customHeight="1" x14ac:dyDescent="0.15"/>
    <row r="946" ht="17" customHeight="1" x14ac:dyDescent="0.15"/>
    <row r="947" ht="17" customHeight="1" x14ac:dyDescent="0.15"/>
    <row r="948" ht="17" customHeight="1" x14ac:dyDescent="0.15"/>
    <row r="949" ht="17" customHeight="1" x14ac:dyDescent="0.15"/>
    <row r="950" ht="17" customHeight="1" x14ac:dyDescent="0.15"/>
    <row r="951" ht="17" customHeight="1" x14ac:dyDescent="0.15"/>
    <row r="952" ht="17" customHeight="1" x14ac:dyDescent="0.15"/>
    <row r="953" ht="17" customHeight="1" x14ac:dyDescent="0.15"/>
    <row r="954" ht="17" customHeight="1" x14ac:dyDescent="0.15"/>
    <row r="955" ht="17" customHeight="1" x14ac:dyDescent="0.15"/>
    <row r="956" ht="17" customHeight="1" x14ac:dyDescent="0.15"/>
    <row r="957" ht="17" customHeight="1" x14ac:dyDescent="0.15"/>
    <row r="958" ht="17" customHeight="1" x14ac:dyDescent="0.15"/>
    <row r="959" ht="17" customHeight="1" x14ac:dyDescent="0.15"/>
    <row r="960" ht="17" customHeight="1" x14ac:dyDescent="0.15"/>
    <row r="961" ht="17" customHeight="1" x14ac:dyDescent="0.15"/>
    <row r="962" ht="17" customHeight="1" x14ac:dyDescent="0.15"/>
    <row r="963" ht="17" customHeight="1" x14ac:dyDescent="0.15"/>
    <row r="964" ht="17" customHeight="1" x14ac:dyDescent="0.15"/>
    <row r="965" ht="17" customHeight="1" x14ac:dyDescent="0.15"/>
    <row r="966" ht="17" customHeight="1" x14ac:dyDescent="0.15"/>
    <row r="967" ht="17" customHeight="1" x14ac:dyDescent="0.15"/>
    <row r="968" ht="17" customHeight="1" x14ac:dyDescent="0.15"/>
    <row r="969" ht="17" customHeight="1" x14ac:dyDescent="0.15"/>
    <row r="970" ht="17" customHeight="1" x14ac:dyDescent="0.15"/>
    <row r="971" ht="17" customHeight="1" x14ac:dyDescent="0.15"/>
    <row r="972" ht="17" customHeight="1" x14ac:dyDescent="0.15"/>
    <row r="973" ht="17" customHeight="1" x14ac:dyDescent="0.15"/>
    <row r="974" ht="17" customHeight="1" x14ac:dyDescent="0.15"/>
    <row r="975" ht="17" customHeight="1" x14ac:dyDescent="0.15"/>
    <row r="976" ht="17" customHeight="1" x14ac:dyDescent="0.15"/>
    <row r="977" ht="17" customHeight="1" x14ac:dyDescent="0.15"/>
    <row r="978" ht="17" customHeight="1" x14ac:dyDescent="0.15"/>
    <row r="979" ht="17" customHeight="1" x14ac:dyDescent="0.15"/>
    <row r="980" ht="17" customHeight="1" x14ac:dyDescent="0.15"/>
    <row r="981" ht="17" customHeight="1" x14ac:dyDescent="0.15"/>
    <row r="982" ht="17" customHeight="1" x14ac:dyDescent="0.15"/>
    <row r="983" ht="17" customHeight="1" x14ac:dyDescent="0.15"/>
    <row r="984" ht="17" customHeight="1" x14ac:dyDescent="0.15"/>
    <row r="985" ht="17" customHeight="1" x14ac:dyDescent="0.15"/>
    <row r="986" ht="17" customHeight="1" x14ac:dyDescent="0.15"/>
    <row r="987" ht="17" customHeight="1" x14ac:dyDescent="0.15"/>
    <row r="988" ht="17" customHeight="1" x14ac:dyDescent="0.15"/>
    <row r="989" ht="17" customHeight="1" x14ac:dyDescent="0.15"/>
    <row r="990" ht="17" customHeight="1" x14ac:dyDescent="0.15"/>
    <row r="991" ht="17" customHeight="1" x14ac:dyDescent="0.15"/>
    <row r="992" ht="17" customHeight="1" x14ac:dyDescent="0.15"/>
    <row r="993" ht="17" customHeight="1" x14ac:dyDescent="0.15"/>
    <row r="994" ht="17" customHeight="1" x14ac:dyDescent="0.15"/>
    <row r="995" ht="17" customHeight="1" x14ac:dyDescent="0.15"/>
    <row r="996" ht="17" customHeight="1" x14ac:dyDescent="0.15"/>
    <row r="997" ht="17" customHeight="1" x14ac:dyDescent="0.15"/>
    <row r="998" ht="17" customHeight="1" x14ac:dyDescent="0.15"/>
    <row r="999" ht="17" customHeight="1" x14ac:dyDescent="0.15"/>
    <row r="1000" ht="17" customHeight="1" x14ac:dyDescent="0.15"/>
  </sheetData>
  <mergeCells count="2">
    <mergeCell ref="F3:H3"/>
    <mergeCell ref="I3:J3"/>
  </mergeCells>
  <conditionalFormatting sqref="G13:G29">
    <cfRule type="containsText" dxfId="11" priority="1" operator="containsText" text="Dropped">
      <formula>NOT(ISERROR(SEARCH(("Dropped"),(G13))))</formula>
    </cfRule>
    <cfRule type="containsText" dxfId="10" priority="2" operator="containsText" text="Delay &gt; 1 week">
      <formula>NOT(ISERROR(SEARCH(("Delay &gt; 1 week"),(G13))))</formula>
    </cfRule>
    <cfRule type="containsText" dxfId="9" priority="3" operator="containsText" text="Delay &lt; 1 week">
      <formula>NOT(ISERROR(SEARCH(("Delay &lt; 1 week"),(G13))))</formula>
    </cfRule>
    <cfRule type="containsText" dxfId="8" priority="4" operator="containsText" text="Completed">
      <formula>NOT(ISERROR(SEARCH(("Completed"),(G13))))</formula>
    </cfRule>
    <cfRule type="containsText" dxfId="7" priority="5" operator="containsText" text="In Progress">
      <formula>NOT(ISERROR(SEARCH(("In Progress"),(G13))))</formula>
    </cfRule>
    <cfRule type="containsText" dxfId="6" priority="6" operator="containsText" text="Not Start">
      <formula>NOT(ISERROR(SEARCH(("Not Start"),(G13))))</formula>
    </cfRule>
  </conditionalFormatting>
  <conditionalFormatting sqref="G16:G29">
    <cfRule type="cellIs" dxfId="5" priority="7" operator="equal">
      <formula>#REF!</formula>
    </cfRule>
    <cfRule type="cellIs" dxfId="4" priority="8" operator="equal">
      <formula>$J$8</formula>
    </cfRule>
    <cfRule type="cellIs" dxfId="3" priority="9" operator="equal">
      <formula>$J$7</formula>
    </cfRule>
    <cfRule type="cellIs" dxfId="2" priority="10" operator="equal">
      <formula>$J$6</formula>
    </cfRule>
    <cfRule type="cellIs" dxfId="1" priority="11" operator="equal">
      <formula>$J$5</formula>
    </cfRule>
    <cfRule type="cellIs" dxfId="0" priority="12" operator="equal">
      <formula>$J$4</formula>
    </cfRule>
  </conditionalFormatting>
  <dataValidations count="1">
    <dataValidation type="list" allowBlank="1" showErrorMessage="1" sqref="G17:G29" xr:uid="{00000000-0002-0000-0600-000000000000}">
      <formula1>'7. Cập nhật tiến độ'!ATS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0. Roadmap</vt:lpstr>
      <vt:lpstr>1. Project Charter</vt:lpstr>
      <vt:lpstr>2. Master Planxxx</vt:lpstr>
      <vt:lpstr>2. Price</vt:lpstr>
      <vt:lpstr>3. Master Plan</vt:lpstr>
      <vt:lpstr>4. Nhân sự dự án</vt:lpstr>
      <vt:lpstr>7. Cập nhật tiến độ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Hoàng Lương </cp:lastModifiedBy>
  <dcterms:created xsi:type="dcterms:W3CDTF">2026-07-14T09:01:02Z</dcterms:created>
  <dcterms:modified xsi:type="dcterms:W3CDTF">2026-07-14T09:01:04Z</dcterms:modified>
</cp:coreProperties>
</file>