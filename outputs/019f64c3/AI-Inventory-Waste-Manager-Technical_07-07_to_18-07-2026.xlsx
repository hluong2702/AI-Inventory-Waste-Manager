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e48b75038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 Roadmap" sheetId="1" r:id="R04ded5ba3d414077"/>
    <x:sheet xmlns:r="http://schemas.openxmlformats.org/officeDocument/2006/relationships" name="1. Project Charter" sheetId="2" r:id="Rc8a84e0c899d446a"/>
    <x:sheet xmlns:r="http://schemas.openxmlformats.org/officeDocument/2006/relationships" name="2. Master Planxxx" sheetId="3" r:id="R714504cc190746ea"/>
    <x:sheet xmlns:r="http://schemas.openxmlformats.org/officeDocument/2006/relationships" name="2. Price" sheetId="4" r:id="R479229d94b814838"/>
    <x:sheet xmlns:r="http://schemas.openxmlformats.org/officeDocument/2006/relationships" name="3. Master Plan" sheetId="5" r:id="R8c250c70ce53420b"/>
    <x:sheet xmlns:r="http://schemas.openxmlformats.org/officeDocument/2006/relationships" name="4. Nhân sự dự án" sheetId="6" r:id="R777f271c220441ec"/>
    <x:sheet xmlns:r="http://schemas.openxmlformats.org/officeDocument/2006/relationships" name="7. Cập nhật tiến độ" sheetId="7" r:id="Rc8a82f069d324c9a"/>
  </x:sheets>
  <x:definedNames>
    <x:definedName name="nextDate">#REF!</x:definedName>
    <x:definedName name="pEnd">#REF!</x:definedName>
    <x:definedName name="thisDate">#REF!</x:definedName>
    <x:definedName name="valuevx">42.314159</x:definedName>
    <x:definedName name="vertex42_copyright">"© 2017 Vertex42 LLC"</x:definedName>
    <x:definedName name="vertex42_id">"project-planner.xlsx"</x:definedName>
    <x:definedName name="vertex42_title">"Project Planner Template"</x:definedName>
  </x:definedNames>
</x:workbook>
</file>

<file path=xl/comments1.xml><?xml version="1.0" encoding="utf-8"?>
<x:comments xmlns:x="http://schemas.openxmlformats.org/spreadsheetml/2006/main">
  <x:authors>
    <x:author>theanh</x:author>
  </x:authors>
  <x:commentList>
    <x:comment ref="C6" authorId="0">
      <x:text>
        <x:r>
          <x:t>======
ID#AAAB9OWCrbg
theanh    (2026-06-29 02:38:24)
Lưu ý tính thêm các ngày nghỉ, CN
Số ngày thêm là 14 CN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<x:sst xmlns:x="http://schemas.openxmlformats.org/spreadsheetml/2006/main">
  <x:si>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LỘ TRÌNH SẢN PHẨM AI INVENTORY &amp; WASTE MANAGER 2026-2027</x:t>
  </x:si>
  <x:si>
    <x:t xml:space="preserve">Hạng mục / Sáng kiến</x:t>
  </x:si>
  <x:si>
    <x:t xml:space="preserve">Nền tảng &amp; bảo mật</x:t>
  </x:si>
  <x:si>
    <x:t xml:space="preserve">1.1</x:t>
  </x:si>
  <x:si>
    <x:t xml:space="preserve">Kiến trúc multi-tenant, JWT/RBAC và Tenant Context</x:t>
  </x:si>
  <x:si>
    <x:t xml:space="preserve">1.2</x:t>
  </x:si>
  <x:si>
    <x:t xml:space="preserve">Cơ sở dữ liệu MySQL, Flyway và Redis</x:t>
  </x:si>
  <x:si>
    <x:t xml:space="preserve">Quản lý kho &amp; lãng phí</x:t>
  </x:si>
  <x:si>
    <x:t xml:space="preserve">2.1</x:t>
  </x:si>
  <x:si>
    <x:t xml:space="preserve">Danh mục nguyên liệu và định mức tồn tối thiểu</x:t>
  </x:si>
  <x:si>
    <x:t xml:space="preserve">2.2</x:t>
  </x:si>
  <x:si>
    <x:t xml:space="preserve">Nhập kho theo lô, hạn sử dụng và giá vốn</x:t>
  </x:si>
  <x:si>
    <x:t xml:space="preserve">2.3</x:t>
  </x:si>
  <x:si>
    <x:t xml:space="preserve">Xuất kho FEFO và kiểm soát giao dịch đồng thời</x:t>
  </x:si>
  <x:si>
    <x:t xml:space="preserve">2.4</x:t>
  </x:si>
  <x:si>
    <x:t xml:space="preserve">Ghi nhận hao hụt và nhật ký giao dịch</x:t>
  </x:si>
  <x:si>
    <x:t xml:space="preserve">2.5</x:t>
  </x:si>
  <x:si>
    <x:t xml:space="preserve">Cảnh báo tồn thấp và sắp hết hạn</x:t>
  </x:si>
  <x:si>
    <x:t xml:space="preserve">Dự báo &amp; báo cáo</x:t>
  </x:si>
  <x:si>
    <x:t xml:space="preserve">3.1</x:t>
  </x:si>
  <x:si>
    <x:t xml:space="preserve">Dashboard KPI tồn kho và lãng phí</x:t>
  </x:si>
  <x:si>
    <x:t xml:space="preserve">3.2</x:t>
  </x:si>
  <x:si>
    <x:t xml:space="preserve">Dự báo nhu cầu và khuyến nghị đặt hàng</x:t>
  </x:si>
  <x:si>
    <x:t xml:space="preserve">3.3</x:t>
  </x:si>
  <x:si>
    <x:t xml:space="preserve">Báo cáo vận hành, audit log và xuất CSV</x:t>
  </x:si>
  <x:si>
    <x:t xml:space="preserve">Vận hành SaaS</x:t>
  </x:si>
  <x:si>
    <x:t xml:space="preserve">4.1</x:t>
  </x:si>
  <x:si>
    <x:t xml:space="preserve">Quản lý cửa hàng và chuyển đổi multi-store</x:t>
  </x:si>
  <x:si>
    <x:t xml:space="preserve">4.2</x:t>
  </x:si>
  <x:si>
    <x:t xml:space="preserve">Mời nhân viên qua email và đổi mật khẩu lần đầu</x:t>
  </x:si>
  <x:si>
    <x:t xml:space="preserve">4.3</x:t>
  </x:si>
  <x:si>
    <x:t xml:space="preserve">Subscription, hạn mức gói và thanh toán</x:t>
  </x:si>
  <x:si>
    <x:t xml:space="preserve">4.4</x:t>
  </x:si>
  <x:si>
    <x:t xml:space="preserve">Trang quản trị hệ thống và quản lý tenant</x:t>
  </x:si>
  <x:si>
    <x:t xml:space="preserve">Chất lượng &amp; triển khai</x:t>
  </x:si>
  <x:si>
    <x:t xml:space="preserve">5.1</x:t>
  </x:si>
  <x:si>
    <x:t xml:space="preserve">Kiểm thử FEFO, phân quyền và cách ly tenant</x:t>
  </x:si>
  <x:si>
    <x:t xml:space="preserve">5.2</x:t>
  </x:si>
  <x:si>
    <x:t xml:space="preserve">Tối ưu hiệu năng, giám sát và sao lưu</x:t>
  </x:si>
  <x:si>
    <x:t xml:space="preserve">5.3</x:t>
  </x:si>
  <x:si>
    <x:t xml:space="preserve">UAT, đào tạo, triển khai production và bàn giao</x:t>
  </x:si>
  <x:si>
    <x:t xml:space="preserve">PROJECT CHARTER</x:t>
  </x:si>
  <x:si>
    <x:t xml:space="preserve">Tên dự án:</x:t>
  </x:si>
  <x:si>
    <x:t xml:space="preserve">AI INVENTORY &amp; WASTE MANAGER</x:t>
  </x:si>
  <x:si>
    <x:t xml:space="preserve">Đơn vị yêu cầu:</x:t>
  </x:si>
  <x:si>
    <x:t xml:space="preserve">Doanh nghiệp F&amp;B / Đơn vị vận hành hệ thống</x:t>
  </x:si>
  <x:si>
    <x:t xml:space="preserve">Ban chỉ đạo dự án:</x:t>
  </x:si>
  <x:si>
    <x:t xml:space="preserve">Giám đốc dự án:</x:t>
  </x:si>
  <x:si>
    <x:t xml:space="preserve">Hoàng Lương</x:t>
  </x:si>
  <x:si>
    <x:t xml:space="preserve">Quản trị dự án:</x:t>
  </x:si>
  <x:si>
    <x:t xml:space="preserve">Đơn vị triển khai:</x:t>
  </x:si>
  <x:si>
    <x:t xml:space="preserve">Nhóm phát triển AI Inventory &amp; Waste Manager</x:t>
  </x:si>
  <x:si>
    <x:t xml:space="preserve">Ngày bắt đầu:</x:t>
  </x:si>
  <x:si>
    <x:t xml:space="preserve">Ngày kết thúc:</x:t>
  </x:si>
  <x:si>
    <x:t xml:space="preserve">Mục tiêu dự án cần đạt được:</x:t>
  </x:si>
  <x:si>
    <x:t xml:space="preserve">Xây dựng nền tảng SaaS đa cửa hàng giúp doanh nghiệp F&amp;B quản lý tồn kho theo lô và FEFO, cảnh báo rủi ro hết hạn/tồn thấp, ghi nhận lãng phí, dự báo nhu cầu đặt hàng và kiểm soát vận hành theo vai trò.</x:t>
  </x:si>
  <x:si>
    <x:t xml:space="preserve">  </x:t>
  </x:si>
  <x:si>
    <x:t xml:space="preserve">Phạm vi dự án:</x:t>
  </x:si>
  <x:si>
    <x:t xml:space="preserve">Web application responsive; quản lý tenant/store; JWT &amp; RBAC; nguyên liệu, lô hàng, nhập/xuất FEFO; hao hụt; cảnh báo; dự báo; báo cáo; nhân sự; gói dịch vụ và quản trị hệ thống.</x:t>
  </x:si>
  <x:si>
    <x:t xml:space="preserve">Phạm vi ngoài dự án:</x:t>
  </x:si>
  <x:si>
    <x:t xml:space="preserve">Không bao gồm giao nhận vật lý, tính lương, kế toán tổng hợp, quản lý nhà cung cấp/PO đầy đủ và tích hợp POS thời gian thực trong giai đoạn hiện tại.</x:t>
  </x:si>
  <x:si>
    <x:t xml:space="preserve">Kinh phí triển khai:</x:t>
  </x:si>
  <x:si>
    <x:t xml:space="preserve">Theo ngân sách được phê duyệt; effort ước tính chi tiết tại sheet 2. Price.</x:t>
  </x:si>
  <x:si>
    <x:t xml:space="preserve">Kết quả/sản phẩm cần có:</x:t>
  </x:si>
  <x:si>
    <x:t xml:space="preserve">Mã nguồn frontend React/TypeScript và backend Spring Boot; CSDL MySQL/Flyway; tài liệu SRS và thiết kế kỹ thuật; bộ kiểm thử; hướng dẫn triển khai/vận hành; hệ thống UAT đáp ứng phạm vi, bảo mật cách ly tenant và quy trình FEFO.</x:t>
  </x:si>
  <x:si>
    <x:t xml:space="preserve">In progress</x:t>
  </x:si>
  <x:si>
    <x:t xml:space="preserve">KẾ HOẠCH TỔNG THỂ DỰ ÁN</x:t>
  </x:si>
  <x:si>
    <x:t xml:space="preserve">Not start</x:t>
  </x:si>
  <x:si>
    <x:t xml:space="preserve">Done</x:t>
  </x:si>
  <x:si>
    <x:t xml:space="preserve">TRIỂN KHAI AI INVENTORY &amp; WASTE MANAGER</x:t>
  </x:si>
  <x:si>
    <x:t xml:space="preserve">Giai Đoạn</x:t>
  </x:si>
  <x:si>
    <x:t xml:space="preserve">Các hoạt động chính</x:t>
  </x:si>
  <x:si>
    <x:t xml:space="preserve">Trạng thái</x:t>
  </x:si>
  <x:si>
    <x:t xml:space="preserve">PIC</x:t>
  </x:si>
  <x:si>
    <x:t xml:space="preserve">Deadline</x:t>
  </x:si>
  <x:si>
    <x:t xml:space="preserve">Jul</x:t>
  </x:si>
  <x:si>
    <x:t xml:space="preserve">Aug</x:t>
  </x:si>
  <x:si>
    <x:t xml:space="preserve">Sep</x:t>
  </x:si>
  <x:si>
    <x:t xml:space="preserve">Oct</x:t>
  </x:si>
  <x:si>
    <x:t xml:space="preserve">Nov</x:t>
  </x:si>
  <x:si>
    <x:t xml:space="preserve">Dec</x:t>
  </x:si>
  <x:si>
    <x:t xml:space="preserve">Jan</x:t>
  </x:si>
  <x:si>
    <x:t xml:space="preserve">Feb</x:t>
  </x:si>
  <x:si>
    <x:t xml:space="preserve">Estimate (day)</x:t>
  </x:si>
  <x:si>
    <x:t xml:space="preserve">CNTT</x:t>
  </x:si>
  <x:si>
    <x:t xml:space="preserve">HCNS</x:t>
  </x:si>
  <x:si>
    <x:t xml:space="preserve">W1</x:t>
  </x:si>
  <x:si>
    <x:t xml:space="preserve">W2</x:t>
  </x:si>
  <x:si>
    <x:t xml:space="preserve">W3</x:t>
  </x:si>
  <x:si>
    <x:t xml:space="preserve">W4</x:t>
  </x:si>
  <x:si>
    <x:t xml:space="preserve">KHỞI TẠO DỰ ÁN</x:t>
  </x:si>
  <x:si>
    <x:t xml:space="preserve">KT01</x:t>
  </x:si>
  <x:si>
    <x:t xml:space="preserve">Kick-off và Project Charter</x:t>
  </x:si>
  <x:si>
    <x:t xml:space="preserve">PM</x:t>
  </x:si>
  <x:si>
    <x:t xml:space="preserve">KT02</x:t>
  </x:si>
  <x:si>
    <x:t xml:space="preserve">Phân tích nghiệp vụ và hoàn thiện SRS</x:t>
  </x:si>
  <x:si>
    <x:t xml:space="preserve">BA</x:t>
  </x:si>
  <x:si>
    <x:t xml:space="preserve">KT03</x:t>
  </x:si>
  <x:si>
    <x:t xml:space="preserve">Thiết kế kiến trúc, CSDL và bảo mật</x:t>
  </x:si>
  <x:si>
    <x:t xml:space="preserve">Tech Lead</x:t>
  </x:si>
  <x:si>
    <x:t xml:space="preserve">WORKSTREAM 1</x:t>
  </x:si>
  <x:si>
    <x:t xml:space="preserve">NỀN TẢNG &amp; BẢO MẬT</x:t>
  </x:si>
  <x:si>
    <x:t xml:space="preserve">WS01.1</x:t>
  </x:si>
  <x:si>
    <x:t xml:space="preserve">Auth, refresh token và đổi mật khẩu</x:t>
  </x:si>
  <x:si>
    <x:t xml:space="preserve">Backend</x:t>
  </x:si>
  <x:si>
    <x:t xml:space="preserve">WS01.2</x:t>
  </x:si>
  <x:si>
    <x:t xml:space="preserve">RBAC, Tenant Context và multi-store</x:t>
  </x:si>
  <x:si>
    <x:t xml:space="preserve">Full-stack</x:t>
  </x:si>
  <x:si>
    <x:t xml:space="preserve">WORKSTREAM 2</x:t>
  </x:si>
  <x:si>
    <x:t xml:space="preserve">QUẢN LÝ KHO FEFO</x:t>
  </x:si>
  <x:si>
    <x:t xml:space="preserve">WS02.1</x:t>
  </x:si>
  <x:si>
    <x:t xml:space="preserve">Nguyên liệu và nhập kho theo lô</x:t>
  </x:si>
  <x:si>
    <x:t xml:space="preserve">WS02.2</x:t>
  </x:si>
  <x:si>
    <x:t xml:space="preserve">Xuất kho FEFO và kiểm soát đồng thời</x:t>
  </x:si>
  <x:si>
    <x:t xml:space="preserve">WS02.3</x:t>
  </x:si>
  <x:si>
    <x:t xml:space="preserve">Hao hụt, giao dịch và kiểm kê</x:t>
  </x:si>
  <x:si>
    <x:t xml:space="preserve">WORKSTREAM 3</x:t>
  </x:si>
  <x:si>
    <x:t xml:space="preserve">CẢNH BÁO, DỰ BÁO &amp; BÁO CÁO</x:t>
  </x:si>
  <x:si>
    <x:t xml:space="preserve">WS03.1</x:t>
  </x:si>
  <x:si>
    <x:t xml:space="preserve">Cảnh báo tồn thấp và hết hạn</x:t>
  </x:si>
  <x:si>
    <x:t xml:space="preserve">WS03.2</x:t>
  </x:si>
  <x:si>
    <x:t xml:space="preserve">Forecast, reorder suggestion và dashboard</x:t>
  </x:si>
  <x:si>
    <x:t xml:space="preserve">WS03.3</x:t>
  </x:si>
  <x:si>
    <x:t xml:space="preserve">Báo cáo, audit log và xuất CSV</x:t>
  </x:si>
  <x:si>
    <x:t xml:space="preserve">WORKSTREAM 4</x:t>
  </x:si>
  <x:si>
    <x:t xml:space="preserve">NHÂN SỰ, BILLING &amp; ADMIN</x:t>
  </x:si>
  <x:si>
    <x:t xml:space="preserve">WS04.1</x:t>
  </x:si>
  <x:si>
    <x:t xml:space="preserve">Invitation và quản lý nhân sự</x:t>
  </x:si>
  <x:si>
    <x:t xml:space="preserve">WS04.2</x:t>
  </x:si>
  <x:si>
    <x:t xml:space="preserve">Subscription, billing và webhook</x:t>
  </x:si>
  <x:si>
    <x:t xml:space="preserve">WS04.3</x:t>
  </x:si>
  <x:si>
    <x:t xml:space="preserve">System Admin</x:t>
  </x:si>
  <x:si>
    <x:t xml:space="preserve">WORKSTREAM 5</x:t>
  </x:si>
  <x:si>
    <x:t xml:space="preserve">KIỂM THỬ, UAT &amp; GO-LIVE</x:t>
  </x:si>
  <x:si>
    <x:t xml:space="preserve">WS05.1</x:t>
  </x:si>
  <x:si>
    <x:t xml:space="preserve">Integration/security test</x:t>
  </x:si>
  <x:si>
    <x:t xml:space="preserve">QA</x:t>
  </x:si>
  <x:si>
    <x:t xml:space="preserve">WS05.2</x:t>
  </x:si>
  <x:si>
    <x:t xml:space="preserve">UAT và sửa lỗi</x:t>
  </x:si>
  <x:si>
    <x:t xml:space="preserve">QA/BA</x:t>
  </x:si>
  <x:si>
    <x:t xml:space="preserve">WS05.3</x:t>
  </x:si>
  <x:si>
    <x:t xml:space="preserve">Triển khai, đào tạo và bàn giao</x:t>
  </x:si>
  <x:si>
    <x:t xml:space="preserve">PM/DevOps</x:t>
  </x:si>
  <x:si>
    <x:t xml:space="preserve">Đơn vị: Nhóm phát triển AI Inventory &amp; Waste Manager</x:t>
  </x:si>
  <x:si>
    <x:t xml:space="preserve">Dự án: AI Inventory &amp; Waste Manager</x:t>
  </x:si>
  <x:si>
    <x:t xml:space="preserve">Khách hàng: Doanh nghiệp F&amp;B / Đơn vị vận hành</x:t>
  </x:si>
  <x:si>
    <x:t xml:space="preserve">STT</x:t>
  </x:si>
  <x:si>
    <x:t xml:space="preserve">Nội dung công việc</x:t>
  </x:si>
  <x:si>
    <x:t xml:space="preserve">Ghi chú</x:t>
  </x:si>
  <x:si>
    <x:t xml:space="preserve">Thời gian (ngày)</x:t>
  </x:si>
  <x:si>
    <x:t xml:space="preserve">Effort (manday)</x:t>
  </x:si>
  <x:si>
    <x:t xml:space="preserve">Comment</x:t>
  </x:si>
  <x:si>
    <x:t xml:space="preserve">I</x:t>
  </x:si>
  <x:si>
    <x:t xml:space="preserve">PHÂN TÍCH VÀ THIẾT KẾ</x:t>
  </x:si>
  <x:si>
    <x:t xml:space="preserve">Lập kế hoạch và quản trị phạm vi</x:t>
  </x:si>
  <x:si>
    <x:t xml:space="preserve">WBS, mốc, rủi ro, kế hoạch truyền thông</x:t>
  </x:si>
  <x:si>
    <x:t xml:space="preserve">Phân tích nghiệp vụ F&amp;B</x:t>
  </x:si>
  <x:si>
    <x:t xml:space="preserve">Luồng nhập/xuất, FEFO, hao hụt, cảnh báo</x:t>
  </x:si>
  <x:si>
    <x:t xml:space="preserve">Đặc tả yêu cầu và tiêu chí nghiệm thu</x:t>
  </x:si>
  <x:si>
    <x:t xml:space="preserve">SRS, business rules, acceptance criteria</x:t>
  </x:si>
  <x:si>
    <x:t xml:space="preserve">Thiết kế kiến trúc hệ thống</x:t>
  </x:si>
  <x:si>
    <x:t xml:space="preserve">React SPA, Spring Boot, MySQL, Redis</x:t>
  </x:si>
  <x:si>
    <x:t xml:space="preserve">Thiết kế CSDL và giao diện</x:t>
  </x:si>
  <x:si>
    <x:t xml:space="preserve">Schema multi-tenant, wireframe responsive</x:t>
  </x:si>
  <x:si>
    <x:t xml:space="preserve">II</x:t>
  </x:si>
  <x:si>
    <x:t xml:space="preserve">PHÁT TRIỂN VÀ XÂY DỰNG</x:t>
  </x:si>
  <x:si>
    <x:t xml:space="preserve">Nền tảng hệ thống</x:t>
  </x:si>
  <x:si>
    <x:t xml:space="preserve">Multi-tenant, bảo mật, cấu hình dùng chung</x:t>
  </x:si>
  <x:si>
    <x:t xml:space="preserve">Đăng ký, đăng nhập và refresh token</x:t>
  </x:si>
  <x:si>
    <x:t xml:space="preserve">JWT, BCrypt, phiên đăng nhập</x:t>
  </x:si>
  <x:si>
    <x:t xml:space="preserve">Phân quyền SYSTEM_ADMIN/OWNER/MANAGER/STAFF</x:t>
  </x:si>
  <x:si>
    <x:t xml:space="preserve">Route/API guards và kiểm tra quyền</x:t>
  </x:si>
  <x:si>
    <x:t xml:space="preserve">1.3</x:t>
  </x:si>
  <x:si>
    <x:t xml:space="preserve">Tenant Context và chuyển đổi cửa hàng</x:t>
  </x:si>
  <x:si>
    <x:t xml:space="preserve">Cách ly dữ liệu theo x-store-id</x:t>
  </x:si>
  <x:si>
    <x:t xml:space="preserve">1.4</x:t>
  </x:si>
  <x:si>
    <x:t xml:space="preserve">Quản lý store và trạng thái hoạt động</x:t>
  </x:si>
  <x:si>
    <x:t xml:space="preserve">CRUD, khóa/mở và quyền sở hữu</x:t>
  </x:si>
  <x:si>
    <x:t xml:space="preserve">Quản lý kho FEFO</x:t>
  </x:si>
  <x:si>
    <x:t xml:space="preserve">Nguyên liệu, lô hàng, giao dịch kho</x:t>
  </x:si>
  <x:si>
    <x:t xml:space="preserve">Quản lý danh mục nguyên liệu</x:t>
  </x:si>
  <x:si>
    <x:t xml:space="preserve">Đơn vị tính, min stock, unit cost</x:t>
  </x:si>
  <x:si>
    <x:t xml:space="preserve">Nhập kho theo lô</x:t>
  </x:si>
  <x:si>
    <x:t xml:space="preserve">Batch number, HSD, giá vốn</x:t>
  </x:si>
  <x:si>
    <x:t xml:space="preserve">Xuất kho tự động theo FEFO</x:t>
  </x:si>
  <x:si>
    <x:t xml:space="preserve">Pessimistic lock, chống tồn âm</x:t>
  </x:si>
  <x:si>
    <x:t xml:space="preserve">Ghi nhận hao hụt</x:t>
  </x:si>
  <x:si>
    <x:t xml:space="preserve">Lý do, số lượng, giá trị thất thoát</x:t>
  </x:si>
  <x:si>
    <x:t xml:space="preserve">Lịch sử giao dịch và kiểm kê</x:t>
  </x:si>
  <x:si>
    <x:t xml:space="preserve">Tra cứu, lọc, phân trang</x:t>
  </x:si>
  <x:si>
    <x:t xml:space="preserve">Cảnh báo, dự báo và báo cáo</x:t>
  </x:si>
  <x:si>
    <x:t xml:space="preserve">Dashboard và hỗ trợ quyết định</x:t>
  </x:si>
  <x:si>
    <x:t xml:space="preserve">Cảnh báo tồn kho thấp</x:t>
  </x:si>
  <x:si>
    <x:t xml:space="preserve">Theo min stock và lịch quét</x:t>
  </x:si>
  <x:si>
    <x:t xml:space="preserve">Cảnh báo sắp hết hạn</x:t>
  </x:si>
  <x:si>
    <x:t xml:space="preserve">Theo lô và ngưỡng ngày</x:t>
  </x:si>
  <x:si>
    <x:t xml:space="preserve">Dự báo nhu cầu tiêu thụ</x:t>
  </x:si>
  <x:si>
    <x:t xml:space="preserve">Average usage và reorder suggestion</x:t>
  </x:si>
  <x:si>
    <x:t xml:space="preserve">3.4</x:t>
  </x:si>
  <x:si>
    <x:t xml:space="preserve">Dashboard KPI</x:t>
  </x:si>
  <x:si>
    <x:t xml:space="preserve">Tồn kho, hao hụt, cảnh báo, hành động</x:t>
  </x:si>
  <x:si>
    <x:t xml:space="preserve">3.5</x:t>
  </x:si>
  <x:si>
    <x:t xml:space="preserve">Báo cáo và xuất CSV</x:t>
  </x:si>
  <x:si>
    <x:t xml:space="preserve">Waste, transaction, audit log</x:t>
  </x:si>
  <x:si>
    <x:t xml:space="preserve">Nhân sự và thương mại hóa</x:t>
  </x:si>
  <x:si>
    <x:t xml:space="preserve">Invitation, subscription, billing</x:t>
  </x:si>
  <x:si>
    <x:t xml:space="preserve">Mời nhân viên qua email</x:t>
  </x:si>
  <x:si>
    <x:t xml:space="preserve">Token, mật khẩu tạm, rate limit</x:t>
  </x:si>
  <x:si>
    <x:t xml:space="preserve">Đổi mật khẩu lần đầu</x:t>
  </x:si>
  <x:si>
    <x:t xml:space="preserve">MustChangePasswordFilter</x:t>
  </x:si>
  <x:si>
    <x:t xml:space="preserve">Quản lý nhân sự cửa hàng</x:t>
  </x:si>
  <x:si>
    <x:t xml:space="preserve">Danh sách, vai trò, trạng thái</x:t>
  </x:si>
  <x:si>
    <x:t xml:space="preserve">Gói FREE/BASIC/PRO/ENTERPRISE</x:t>
  </x:si>
  <x:si>
    <x:t xml:space="preserve">Hạn mức theo entitlement</x:t>
  </x:si>
  <x:si>
    <x:t xml:space="preserve">4.5</x:t>
  </x:si>
  <x:si>
    <x:t xml:space="preserve">Thanh toán và webhook</x:t>
  </x:si>
  <x:si>
    <x:t xml:space="preserve">Kích hoạt/gia hạn subscription</x:t>
  </x:si>
  <x:si>
    <x:t xml:space="preserve">4.6</x:t>
  </x:si>
  <x:si>
    <x:t xml:space="preserve">Trang quản trị hệ thống</x:t>
  </x:si>
  <x:si>
    <x:t xml:space="preserve">Tenant, user và giao dịch</x:t>
  </x:si>
  <x:si>
    <x:t xml:space="preserve">Kiểm thử và chất lượng</x:t>
  </x:si>
  <x:si>
    <x:t xml:space="preserve">Unit/integration test backend</x:t>
  </x:si>
  <x:si>
    <x:t xml:space="preserve">FEFO, auth, tenant, billing</x:t>
  </x:si>
  <x:si>
    <x:t xml:space="preserve">Kiểm thử frontend và responsive</x:t>
  </x:si>
  <x:si>
    <x:t xml:space="preserve">Các luồng chính, lỗi và trạng thái rỗng</x:t>
  </x:si>
  <x:si>
    <x:t xml:space="preserve">Kiểm thử bảo mật và UAT</x:t>
  </x:si>
  <x:si>
    <x:t xml:space="preserve">Phân quyền, rò rỉ tenant, nghiệm thu</x:t>
  </x:si>
  <x:si>
    <x:t xml:space="preserve">III</x:t>
  </x:si>
  <x:si>
    <x:t xml:space="preserve">TÍCH HỢP, TRIỂN KHAI VÀ BÀN GIAO</x:t>
  </x:si>
  <x:si>
    <x:t xml:space="preserve">6.1</x:t>
  </x:si>
  <x:si>
    <x:t xml:space="preserve">Tích hợp Gmail SMTP và Redis</x:t>
  </x:si>
  <x:si>
    <x:t xml:space="preserve">Email invitation, cache/rate limit</x:t>
  </x:si>
  <x:si>
    <x:t xml:space="preserve">6.2</x:t>
  </x:si>
  <x:si>
    <x:t xml:space="preserve">Chuẩn bị môi trường production</x:t>
  </x:si>
  <x:si>
    <x:t xml:space="preserve">Java 21, MySQL 8, Redis, reverse proxy</x:t>
  </x:si>
  <x:si>
    <x:t xml:space="preserve">6.3</x:t>
  </x:si>
  <x:si>
    <x:t xml:space="preserve">Migration dữ liệu và cấu hình</x:t>
  </x:si>
  <x:si>
    <x:t xml:space="preserve">Flyway, secrets, backup</x:t>
  </x:si>
  <x:si>
    <x:t xml:space="preserve">6.4</x:t>
  </x:si>
  <x:si>
    <x:t xml:space="preserve">Đào tạo, tài liệu và bàn giao</x:t>
  </x:si>
  <x:si>
    <x:t xml:space="preserve">HDSD, vận hành, hỗ trợ sau go-live</x:t>
  </x:si>
  <x:si>
    <x:t xml:space="preserve">TỔNG</x:t>
  </x:si>
  <x:si>
    <x:t xml:space="preserve">Dự án AI Inventory &amp; Waste Manager</x:t>
  </x:si>
  <x:si>
    <x:t xml:space="preserve">[42]</x:t>
  </x:si>
  <x:si>
    <x:t xml:space="preserve">Người lập: Hoàng Lương</x:t>
  </x:si>
  <x:si>
    <x:t xml:space="preserve">Project Start:</x:t>
  </x:si>
  <x:si>
    <x:t xml:space="preserve">Display:</x:t>
  </x:si>
  <x:si>
    <x:t xml:space="preserve">Weekly</x:t>
  </x:si>
  <x:si>
    <x:t xml:space="preserve">Display Period:</x:t>
  </x:si>
  <x:si>
    <x:t xml:space="preserve">Công việc</x:t>
  </x:si>
  <x:si>
    <x:t xml:space="preserve">Tóm tắt nội dung</x:t>
  </x:si>
  <x:si>
    <x:t xml:space="preserve">Phụ trách</x:t>
  </x:si>
  <x:si>
    <x:t xml:space="preserve">Phối hợp</x:t>
  </x:si>
  <x:si>
    <x:t xml:space="preserve">Tiến độ</x:t>
  </x:si>
  <x:si>
    <x:t xml:space="preserve">Kế hoạch Bắt đầu</x:t>
  </x:si>
  <x:si>
    <x:t xml:space="preserve">Kế hoạch Kết thúc</x:t>
  </x:si>
  <x:si>
    <x:t xml:space="preserve">Kế hoạch Số ngày</x:t>
  </x:si>
  <x:si>
    <x:t xml:space="preserve">Thực tế Bắt đầu</x:t>
  </x:si>
  <x:si>
    <x:t xml:space="preserve">Thực tế Kết thúc</x:t>
  </x:si>
  <x:si>
    <x:t xml:space="preserve">Thực tế Số ngày</x:t>
  </x:si>
  <x:si>
    <x:t xml:space="preserve">KHỞI TẠO VÀ PHÂN TÍCH</x:t>
  </x:si>
  <x:si>
    <x:t xml:space="preserve">Phạm vi, yêu cầu và kiến trúc</x:t>
  </x:si>
  <x:si>
    <x:t xml:space="preserve">Các bên liên quan</x:t>
  </x:si>
  <x:si>
    <x:t xml:space="preserve">Khởi động dự án</x:t>
  </x:si>
  <x:si>
    <x:t xml:space="preserve">Thống nhất mục tiêu, phạm vi và cách làm việc</x:t>
  </x:si>
  <x:si>
    <x:t xml:space="preserve">Product Owner</x:t>
  </x:si>
  <x:si>
    <x:t xml:space="preserve">Phân tích quy trình kho F&amp;B</x:t>
  </x:si>
  <x:si>
    <x:t xml:space="preserve">Nhập/xuất, FEFO, hao hụt và cảnh báo</x:t>
  </x:si>
  <x:si>
    <x:t xml:space="preserve">PM, vận hành</x:t>
  </x:si>
  <x:si>
    <x:t xml:space="preserve">Hoàn thiện SRS và backlog</x:t>
  </x:si>
  <x:si>
    <x:t xml:space="preserve">Yêu cầu chức năng, phi chức năng, acceptance criteria</x:t>
  </x:si>
  <x:si>
    <x:t xml:space="preserve">Thiết kế kiến trúc và CSDL</x:t>
  </x:si>
  <x:si>
    <x:t xml:space="preserve">Multi-tenant, API, schema, bảo mật</x:t>
  </x:si>
  <x:si>
    <x:t xml:space="preserve">Backend, DevOps</x:t>
  </x:si>
  <x:si>
    <x:t xml:space="preserve">Auth, tenant, store và phân quyền</x:t>
  </x:si>
  <x:si>
    <x:t xml:space="preserve">Backend, Frontend</x:t>
  </x:si>
  <x:si>
    <x:t xml:space="preserve">Xác thực JWT và refresh token</x:t>
  </x:si>
  <x:si>
    <x:t xml:space="preserve">Đăng ký, đăng nhập, đổi mật khẩu</x:t>
  </x:si>
  <x:si>
    <x:t xml:space="preserve">Frontend, QA</x:t>
  </x:si>
  <x:si>
    <x:t xml:space="preserve">RBAC và route/API guards</x:t>
  </x:si>
  <x:si>
    <x:t xml:space="preserve">4 vai trò hệ thống</x:t>
  </x:si>
  <x:si>
    <x:t xml:space="preserve">Tenant Context và multi-store</x:t>
  </x:si>
  <x:si>
    <x:t xml:space="preserve">Cách ly dữ liệu và chuyển store</x:t>
  </x:si>
  <x:si>
    <x:t xml:space="preserve">Quản lý store</x:t>
  </x:si>
  <x:si>
    <x:t xml:space="preserve">CRUD, trạng thái, quyền sở hữu</x:t>
  </x:si>
  <x:si>
    <x:t xml:space="preserve">Frontend</x:t>
  </x:si>
  <x:si>
    <x:t xml:space="preserve">Nguyên liệu, lô và giao dịch</x:t>
  </x:si>
  <x:si>
    <x:t xml:space="preserve">Backend, Frontend, QA</x:t>
  </x:si>
  <x:si>
    <x:t xml:space="preserve">Danh mục nguyên liệu</x:t>
  </x:si>
  <x:si>
    <x:t xml:space="preserve">CRUD, đơn vị, min stock, unit cost</x:t>
  </x:si>
  <x:si>
    <x:t xml:space="preserve">Batch, HSD, số lượng, giá vốn</x:t>
  </x:si>
  <x:si>
    <x:t xml:space="preserve">Xuất kho FEFO</x:t>
  </x:si>
  <x:si>
    <x:t xml:space="preserve">Khóa đồng thời và phân bổ theo lô</x:t>
  </x:si>
  <x:si>
    <x:t xml:space="preserve">Lý do, số lượng và giá trị</x:t>
  </x:si>
  <x:si>
    <x:t xml:space="preserve">Giao dịch và kiểm kê</x:t>
  </x:si>
  <x:si>
    <x:t xml:space="preserve">Lịch sử, lọc, phân trang</x:t>
  </x:si>
  <x:si>
    <x:t xml:space="preserve">IV</x:t>
  </x:si>
  <x:si>
    <x:t xml:space="preserve">Insight và hỗ trợ quyết định</x:t>
  </x:si>
  <x:si>
    <x:t xml:space="preserve">Data, Full-stack</x:t>
  </x:si>
  <x:si>
    <x:t xml:space="preserve">Cảnh báo tồn thấp/hết hạn</x:t>
  </x:si>
  <x:si>
    <x:t xml:space="preserve">Job định kỳ và action center</x:t>
  </x:si>
  <x:si>
    <x:t xml:space="preserve">Dự báo và reorder suggestion</x:t>
  </x:si>
  <x:si>
    <x:t xml:space="preserve">Dựa trên lịch sử tiêu hao</x:t>
  </x:si>
  <x:si>
    <x:t xml:space="preserve">Backend/Data</x:t>
  </x:si>
  <x:si>
    <x:t xml:space="preserve">Tồn, waste, cảnh báo và xu hướng</x:t>
  </x:si>
  <x:si>
    <x:t xml:space="preserve">Backend, QA</x:t>
  </x:si>
  <x:si>
    <x:t xml:space="preserve">V</x:t>
  </x:si>
  <x:si>
    <x:t xml:space="preserve">Thương mại hóa SaaS</x:t>
  </x:si>
  <x:si>
    <x:t xml:space="preserve">Full-stack, QA</x:t>
  </x:si>
  <x:si>
    <x:t xml:space="preserve">Invitation và first login</x:t>
  </x:si>
  <x:si>
    <x:t xml:space="preserve">Email, token, mật khẩu tạm</x:t>
  </x:si>
  <x:si>
    <x:t xml:space="preserve">Quản lý nhân sự</x:t>
  </x:si>
  <x:si>
    <x:t xml:space="preserve">Vai trò, trạng thái và hạn mức</x:t>
  </x:si>
  <x:si>
    <x:t xml:space="preserve">Subscription và billing</x:t>
  </x:si>
  <x:si>
    <x:t xml:space="preserve">Gói, entitlement, webhook</x:t>
  </x:si>
  <x:si>
    <x:t xml:space="preserve">Quản lý tenant, user và giao dịch</x:t>
  </x:si>
  <x:si>
    <x:t xml:space="preserve">VI</x:t>
  </x:si>
  <x:si>
    <x:t xml:space="preserve">KIỂM THỬ, TRIỂN KHAI &amp; BÀN GIAO</x:t>
  </x:si>
  <x:si>
    <x:t xml:space="preserve">Ổn định và nghiệm thu</x:t>
  </x:si>
  <x:si>
    <x:t xml:space="preserve">Toàn đội</x:t>
  </x:si>
  <x:si>
    <x:t xml:space="preserve">Kiểm thử tích hợp và bảo mật</x:t>
  </x:si>
  <x:si>
    <x:t xml:space="preserve">FEFO, tenant isolation, RBAC</x:t>
  </x:si>
  <x:si>
    <x:t xml:space="preserve">UAT và xử lý lỗi</x:t>
  </x:si>
  <x:si>
    <x:t xml:space="preserve">Nghiệm thu với người dùng đại diện</x:t>
  </x:si>
  <x:si>
    <x:t xml:space="preserve">Vận hành</x:t>
  </x:si>
  <x:si>
    <x:t xml:space="preserve">Chuẩn bị production</x:t>
  </x:si>
  <x:si>
    <x:t xml:space="preserve">Hạ tầng, secrets, backup, migration</x:t>
  </x:si>
  <x:si>
    <x:t xml:space="preserve">DevOps</x:t>
  </x:si>
  <x:si>
    <x:t xml:space="preserve">Đào tạo và go-live</x:t>
  </x:si>
  <x:si>
    <x:t xml:space="preserve">Hướng dẫn, triển khai, giám sát</x:t>
  </x:si>
  <x:si>
    <x:t xml:space="preserve">Bàn giao và đóng dự án</x:t>
  </x:si>
  <x:si>
    <x:t xml:space="preserve">Mã nguồn, tài liệu, biên bản</x:t>
  </x:si>
  <x:si>
    <x:t xml:space="preserve">DANH SÁCH NHÂN SỰ THAM GIA DỰ ÁN</x:t>
  </x:si>
  <x:si>
    <x:t xml:space="preserve">Họ Tên</x:t>
  </x:si>
  <x:si>
    <x:t xml:space="preserve">Đơn vị/Ban</x:t>
  </x:si>
  <x:si>
    <x:t xml:space="preserve">Chức Vụ</x:t>
  </x:si>
  <x:si>
    <x:t xml:space="preserve">Vai trò trong dự án</x:t>
  </x:si>
  <x:si>
    <x:t xml:space="preserve">Điện thoại</x:t>
  </x:si>
  <x:si>
    <x:t xml:space="preserve">Email</x:t>
  </x:si>
  <x:si>
    <x:t xml:space="preserve">Nhóm triển khai dự án</x:t>
  </x:si>
  <x:si>
    <x:t xml:space="preserve">Nhóm dự án</x:t>
  </x:si>
  <x:si>
    <x:t xml:space="preserve">Quản trị dự án</x:t>
  </x:si>
  <x:si>
    <x:t xml:space="preserve">Lập kế hoạch, điều phối, nghiệm thu</x:t>
  </x:si>
  <x:si>
    <x:t xml:space="preserve">Đầu mối dự án</x:t>
  </x:si>
  <x:si>
    <x:t xml:space="preserve">Chưa phân công</x:t>
  </x:si>
  <x:si>
    <x:t xml:space="preserve">Business Analyst</x:t>
  </x:si>
  <x:si>
    <x:t xml:space="preserve">Phân tích nghiệp vụ, SRS, UAT</x:t>
  </x:si>
  <x:si>
    <x:t xml:space="preserve">Cần cập nhật người phụ trách</x:t>
  </x:si>
  <x:si>
    <x:t xml:space="preserve">Tech Lead / Backend</x:t>
  </x:si>
  <x:si>
    <x:t xml:space="preserve">Kiến trúc, API, bảo mật, FEFO</x:t>
  </x:si>
  <x:si>
    <x:t xml:space="preserve">Frontend Developer</x:t>
  </x:si>
  <x:si>
    <x:t xml:space="preserve">React UI, state, responsive</x:t>
  </x:si>
  <x:si>
    <x:t xml:space="preserve">QA Engineer</x:t>
  </x:si>
  <x:si>
    <x:t xml:space="preserve">Test plan, regression, UAT</x:t>
  </x:si>
  <x:si>
    <x:t xml:space="preserve">CI/CD, hạ tầng, backup, monitoring</x:t>
  </x:si>
  <x:si>
    <x:t xml:space="preserve">Đơn vị nghiệp vụ / Khách hàng</x:t>
  </x:si>
  <x:si>
    <x:t xml:space="preserve">Đơn vị F&amp;B</x:t>
  </x:si>
  <x:si>
    <x:t xml:space="preserve">Phê duyệt phạm vi và nghiệm thu</x:t>
  </x:si>
  <x:si>
    <x:t xml:space="preserve">Cần cập nhật đại diện</x:t>
  </x:si>
  <x:si>
    <x:t xml:space="preserve">Quản lý cửa hàng</x:t>
  </x:si>
  <x:si>
    <x:t xml:space="preserve">Cung cấp quy trình và dữ liệu UAT</x:t>
  </x:si>
  <x:si>
    <x:t xml:space="preserve">Nhân viên kho</x:t>
  </x:si>
  <x:si>
    <x:t xml:space="preserve">Thử nghiệm nhập/xuất và hao hụt</x:t>
  </x:si>
  <x:si>
    <x:t xml:space="preserve">DỰ ÁN AI INVENTORY &amp; WASTE MANAGER</x:t>
  </x:si>
  <x:si>
    <x:r>
      <x:rPr>
        <x:b/>
        <x:sz val="409"/>
        <x:color rgb="FF000000"/>
        <x:rFont val="Arial"/>
        <x:family val="2"/>
      </x:rPr>
      <x:t xml:space="preserve">Action Tracking Sheet
</x:t>
    </x:r>
    <x:r>
      <x:rPr>
        <x:b/>
        <x:i/>
        <x:sz val="409"/>
        <x:color rgb="FF000000"/>
        <x:rFont val="Arial"/>
        <x:family val="2"/>
      </x:rPr>
      <x:t xml:space="preserve">Nhật ký hoạt động dự án</x:t>
    </x:r>
  </x:si>
  <x:si>
    <x:r>
      <x:rPr>
        <x:b/>
        <x:sz val="409"/>
        <x:color rgb="FF000000"/>
        <x:rFont val="Arial"/>
        <x:family val="2"/>
      </x:rPr>
      <x:t xml:space="preserve">Status</x:t>
    </x:r>
    <x:r>
      <x:rPr>
        <x:b/>
        <x:i/>
        <x:sz val="409"/>
        <x:color rgb="FF000000"/>
        <x:rFont val="Arial"/>
        <x:family val="2"/>
      </x:rPr>
      <x:t xml:space="preserve">
Trạng thái</x:t>
    </x:r>
  </x:si>
  <x:si>
    <x:t xml:space="preserve">Chưa bắt đầu</x:t>
  </x:si>
  <x:si>
    <x:t xml:space="preserve">Not Started</x:t>
  </x:si>
  <x:si>
    <x:t xml:space="preserve">Project Manager: Hoàng Lương
Quản trị dự án</x:t>
  </x:si>
  <x:si>
    <x:t xml:space="preserve">Đang diễn ra</x:t>
  </x:si>
  <x:si>
    <x:t xml:space="preserve">In Progress</x:t>
  </x:si>
  <x:si>
    <x:t xml:space="preserve">Workstream Lead: Tech Lead
Trưởng nhóm công việc</x:t>
  </x:si>
  <x:si>
    <x:t xml:space="preserve">Hoàn thành</x:t>
  </x:si>
  <x:si>
    <x:t xml:space="preserve">Completed</x:t>
  </x:si>
  <x:si>
    <x:t xml:space="preserve">Updated by: Hoàng Lương
Cập nhật bởi</x:t>
  </x:si>
  <x:si>
    <x:t xml:space="preserve">Trễ tiến độ &lt; 1 tuần</x:t>
  </x:si>
  <x:si>
    <x:t xml:space="preserve">Delay &lt; 1 week</x:t>
  </x:si>
  <x:si>
    <x:t xml:space="preserve">Trễ tiến độ &gt; 1 tuần</x:t>
  </x:si>
  <x:si>
    <x:t xml:space="preserve">Delay &gt; 1 week</x:t>
  </x:si>
  <x:si>
    <x:t xml:space="preserve">Bãi bỏ</x:t>
  </x:si>
  <x:si>
    <x:t xml:space="preserve">Dropped</x:t>
  </x:si>
  <x:si>
    <x:r>
      <x:rPr>
        <x:b/>
        <x:sz val="409"/>
        <x:color rgb="FFFFFFFF"/>
        <x:rFont val="Arial"/>
        <x:family val="2"/>
      </x:rPr>
      <x:t xml:space="preserve">No.
</x:t>
    </x:r>
    <x:r>
      <x:rPr>
        <x:b/>
        <x:i/>
        <x:sz val="409"/>
        <x:color rgb="FFFFFFFF"/>
        <x:rFont val="Arial"/>
        <x:family val="2"/>
      </x:rPr>
      <x:t xml:space="preserve">STT</x:t>
    </x:r>
  </x:si>
  <x:si>
    <x:r>
      <x:rPr>
        <x:b/>
        <x:sz val="409"/>
        <x:color rgb="FFFFFFFF"/>
        <x:rFont val="Arial"/>
        <x:family val="2"/>
      </x:rPr>
      <x:t xml:space="preserve">Date Raised
</x:t>
    </x:r>
    <x:r>
      <x:rPr>
        <x:b/>
        <x:i/>
        <x:sz val="409"/>
        <x:color rgb="FFFFFFFF"/>
        <x:rFont val="Arial"/>
        <x:family val="2"/>
      </x:rPr>
      <x:t xml:space="preserve">Ngày cập nhật</x:t>
    </x:r>
  </x:si>
  <x:si>
    <x:r>
      <x:rPr>
        <x:b/>
        <x:sz val="409"/>
        <x:color rgb="FFFFFFFF"/>
        <x:rFont val="Arial"/>
        <x:family val="2"/>
      </x:rPr>
      <x:t xml:space="preserve">Source
</x:t>
    </x:r>
    <x:r>
      <x:rPr>
        <x:b/>
        <x:i/>
        <x:sz val="409"/>
        <x:color rgb="FFFFFFFF"/>
        <x:rFont val="Arial"/>
        <x:family val="2"/>
      </x:rPr>
      <x:t xml:space="preserve">Nguồn
(Nội bộ/Ngoài dự án)</x:t>
    </x:r>
  </x:si>
  <x:si>
    <x:r>
      <x:rPr>
        <x:b/>
        <x:sz val="409"/>
        <x:color rgb="FFFFFFFF"/>
        <x:rFont val="Arial"/>
        <x:family val="2"/>
      </x:rPr>
      <x:t xml:space="preserve">Workstream
</x:t>
    </x:r>
    <x:r>
      <x:rPr>
        <x:b/>
        <x:i/>
        <x:sz val="409"/>
        <x:color rgb="FFFFFFFF"/>
        <x:rFont val="Arial"/>
        <x:family val="2"/>
      </x:rPr>
      <x:t xml:space="preserve">Nhóm công việc</x:t>
    </x:r>
  </x:si>
  <x:si>
    <x:r>
      <x:rPr>
        <x:b/>
        <x:sz val="409"/>
        <x:color rgb="FFFFFFFF"/>
        <x:rFont val="Arial"/>
        <x:family val="2"/>
      </x:rPr>
      <x:t xml:space="preserve">Topic
</x:t>
    </x:r>
    <x:r>
      <x:rPr>
        <x:b/>
        <x:i/>
        <x:sz val="409"/>
        <x:color rgb="FFFFFFFF"/>
        <x:rFont val="Arial"/>
        <x:family val="2"/>
      </x:rPr>
      <x:t xml:space="preserve">Chủ đề</x:t>
    </x:r>
  </x:si>
  <x:si>
    <x:r>
      <x:rPr>
        <x:b/>
        <x:sz val="409"/>
        <x:color rgb="FFFFFFFF"/>
        <x:rFont val="Arial"/>
        <x:family val="2"/>
      </x:rPr>
      <x:t xml:space="preserve">Description
</x:t>
    </x:r>
    <x:r>
      <x:rPr>
        <x:b/>
        <x:i/>
        <x:sz val="409"/>
        <x:color rgb="FFFFFFFF"/>
        <x:rFont val="Arial"/>
        <x:family val="2"/>
      </x:rPr>
      <x:t xml:space="preserve">Nội dung</x:t>
    </x:r>
  </x:si>
  <x:si>
    <x:r>
      <x:rPr>
        <x:b/>
        <x:sz val="409"/>
        <x:color rgb="FFFFFFFF"/>
        <x:rFont val="Arial"/>
        <x:family val="2"/>
      </x:rPr>
      <x:t xml:space="preserve">Status
</x:t>
    </x:r>
    <x:r>
      <x:rPr>
        <x:b/>
        <x:i/>
        <x:sz val="409"/>
        <x:color rgb="FFFFFFFF"/>
        <x:rFont val="Arial"/>
        <x:family val="2"/>
      </x:rPr>
      <x:t xml:space="preserve">Trạng thái</x:t>
    </x:r>
  </x:si>
  <x:si>
    <x:r>
      <x:rPr>
        <x:b/>
        <x:sz val="409"/>
        <x:color rgb="FFFFFFFF"/>
        <x:rFont val="Arial"/>
        <x:family val="2"/>
      </x:rPr>
      <x:t xml:space="preserve">Due date
</x:t>
    </x:r>
    <x:r>
      <x:rPr>
        <x:b/>
        <x:i/>
        <x:sz val="409"/>
        <x:color rgb="FFFFFFFF"/>
        <x:rFont val="Arial"/>
        <x:family val="2"/>
      </x:rPr>
      <x:t xml:space="preserve">Ngày kết thúc</x:t>
    </x:r>
  </x:si>
  <x:si>
    <x:r>
      <x:rPr>
        <x:b/>
        <x:sz val="409"/>
        <x:color rgb="FFFFFFFF"/>
        <x:rFont val="Arial"/>
        <x:family val="2"/>
      </x:rPr>
      <x:t xml:space="preserve">Revised Due Date</x:t>
    </x:r>
    <x:r>
      <x:rPr>
        <x:b/>
        <x:i/>
        <x:sz val="409"/>
        <x:color rgb="FFFFFFFF"/>
        <x:rFont val="Arial"/>
        <x:family val="2"/>
      </x:rPr>
      <x:t xml:space="preserve">
Cập nhật lại ngày kết thúc</x:t>
    </x:r>
  </x:si>
  <x:si>
    <x:r>
      <x:rPr>
        <x:b/>
        <x:sz val="409"/>
        <x:color rgb="FFFFFFFF"/>
        <x:rFont val="Arial"/>
        <x:family val="2"/>
      </x:rPr>
      <x:t xml:space="preserve">Owner
</x:t>
    </x:r>
    <x:r>
      <x:rPr>
        <x:b/>
        <x:i/>
        <x:sz val="409"/>
        <x:color rgb="FFFFFFFF"/>
        <x:rFont val="Arial"/>
        <x:family val="2"/>
      </x:rPr>
      <x:t xml:space="preserve">Người chịu trách nhiệm</x:t>
    </x:r>
  </x:si>
  <x:si>
    <x:r>
      <x:rPr>
        <x:b/>
        <x:sz val="409"/>
        <x:color rgb="FFFFFFFF"/>
        <x:rFont val="Arial"/>
        <x:family val="2"/>
      </x:rPr>
      <x:t xml:space="preserve">Comment Tracking
</x:t>
    </x:r>
    <x:r>
      <x:rPr>
        <x:b/>
        <x:i/>
        <x:sz val="409"/>
        <x:color rgb="FFFFFFFF"/>
        <x:rFont val="Arial"/>
        <x:family val="2"/>
      </x:rPr>
      <x:t xml:space="preserve">Thông tin bổ sung</x:t>
    </x:r>
  </x:si>
  <x:si>
    <x:t xml:space="preserve">Nội bộ</x:t>
  </x:si>
  <x:si>
    <x:t xml:space="preserve">Khởi tạo</x:t>
  </x:si>
  <x:si>
    <x:t xml:space="preserve">Kick-off dự án</x:t>
  </x:si>
  <x:si>
    <x:t xml:space="preserve">Thống nhất phạm vi, mốc và kênh trao đổi</x:t>
  </x:si>
  <x:si>
    <x:t xml:space="preserve">Biên bản kick-off và charter</x:t>
  </x:si>
  <x:si>
    <x:t xml:space="preserve">Phân tích</x:t>
  </x:si>
  <x:si>
    <x:t xml:space="preserve">Hoàn thiện backlog</x:t>
  </x:si>
  <x:si>
    <x:t xml:space="preserve">Rà soát SRS, business rules và acceptance criteria</x:t>
  </x:si>
  <x:si>
    <x:t xml:space="preserve">Ưu tiên luồng FEFO và tenant isolation</x:t>
  </x:si>
  <x:si>
    <x:t xml:space="preserve">Kỹ thuật</x:t>
  </x:si>
  <x:si>
    <x:t xml:space="preserve">Chốt kiến trúc</x:t>
  </x:si>
  <x:si>
    <x:t xml:space="preserve">Xác nhận React, Spring Boot, MySQL, Redis và phương án triển khai</x:t>
  </x:si>
  <x:si>
    <x:t xml:space="preserve">Cần chốt secrets và môi trường production</x:t>
  </x:si>
  <x:si>
    <x:t xml:space="preserve">Chất lượng</x:t>
  </x:si>
  <x:si>
    <x:t xml:space="preserve">Kế hoạch kiểm thử</x:t>
  </x:si>
  <x:si>
    <x:t xml:space="preserve">Lập test matrix cho RBAC, multi-tenant và FEFO</x:t>
  </x:si>
  <x:si>
    <x:t xml:space="preserve">Bao gồm race condition khi xuất kho</x:t>
  </x:si>
  <x:si>
    <x:t xml:space="preserve">Ngoài dự án</x:t>
  </x:si>
  <x:si>
    <x:t xml:space="preserve">Nghiệp vụ</x:t>
  </x:si>
  <x:si>
    <x:t xml:space="preserve">Đại diện UAT</x:t>
  </x:si>
  <x:si>
    <x:t xml:space="preserve">Chỉ định Product Owner, quản lý cửa hàng và nhân viên kho thử nghiệm</x:t>
  </x:si>
  <x:si>
    <x:t xml:space="preserve">Khách hàng</x:t>
  </x:si>
  <x:si>
    <x:t xml:space="preserve">Cần thông tin liên hệ</x:t>
  </x:si>
  <x:si>
    <x:t xml:space="preserve">Hạ tầng</x:t>
  </x:si>
  <x:si>
    <x:t xml:space="preserve">Java 21 và dịch vụ phụ trợ</x:t>
  </x:si>
  <x:si>
    <x:t xml:space="preserve">Chuẩn bị JDK 21, MySQL 8, Redis và SMTP</x:t>
  </x:si>
  <x:si>
    <x:t xml:space="preserve">Môi trường hiện tại cần nâng JDK</x:t>
  </x:si>
  <x:si>
    <x:t xml:space="preserve">Bảo mật</x:t>
  </x:si>
  <x:si>
    <x:t xml:space="preserve">Kiểm tra cách ly tenant</x:t>
  </x:si>
  <x:si>
    <x:t xml:space="preserve">Xây dựng test truy cập chéo store và kiểm tra TenantContext.clear()</x:t>
  </x:si>
  <x:si>
    <x:t xml:space="preserve">QA/Backend</x:t>
  </x:si>
  <x:si>
    <x:t xml:space="preserve">Tiêu chí bắt buộc trước UAT</x:t>
  </x:si>
  <x:si>
    <x:t xml:space="preserve">Triển khai</x:t>
  </x:si>
  <x:si>
    <x:t xml:space="preserve">Tài liệu vận hành</x:t>
  </x:si>
  <x:si>
    <x:t xml:space="preserve">Hoàn thiện hướng dẫn cấu hình, backup, restore và xử lý sự cố</x:t>
  </x:si>
  <x:si>
    <x:t xml:space="preserve">DevOps/PM</x:t>
  </x:si>
  <x:si>
    <x:t xml:space="preserve">Bàn giao cùng mã nguồn</x:t>
  </x:si>
</x:sst>
</file>

<file path=xl/styles.xml><?xml version="1.0" encoding="utf-8"?>
<x:styleSheet xmlns:x="http://schemas.openxmlformats.org/spreadsheetml/2006/main">
  <x:numFmts count="2">
    <x:numFmt numFmtId="164" formatCode="[$-409]d\-mmm\-yy"/>
    <x:numFmt numFmtId="166" formatCode="dd/mm/yyyy"/>
  </x:numFmts>
  <x:fonts count="52">
    <x:font>
      <x:sz val="11"/>
      <x:color theme="1"/>
      <x:name val="Arial"/>
    </x:font>
    <x:font>
      <x:b/>
      <x:sz val="16"/>
      <x:color theme="1"/>
      <x:name val="Arial"/>
    </x:font>
    <x:font>
      <x:b/>
      <x:sz val="12"/>
      <x:color theme="1"/>
      <x:name val="Arial"/>
    </x:font>
    <x:font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2"/>
      <x:color theme="1"/>
      <x:name val="Times New Roman"/>
    </x:font>
    <x:font>
      <x:sz val="12"/>
      <x:color theme="1"/>
      <x:name val="Times New Roman"/>
    </x:font>
    <x:font>
      <x:sz val="11"/>
      <x:color theme="1"/>
      <x:name val="Arial"/>
    </x:font>
    <x:font>
      <x:sz val="10"/>
      <x:color theme="1"/>
      <x:name val="Arial"/>
    </x:font>
    <x:font>
      <x:sz val="11"/>
      <x:color theme="1"/>
      <x:name val="Calibri"/>
    </x:font>
    <x:font>
      <x:sz val="11"/>
      <x:color rgb="FF000000"/>
      <x:name val="Calibri"/>
    </x:font>
    <x:font>
      <x:b/>
      <x:sz val="16"/>
      <x:color theme="1"/>
      <x:name val="Calibri"/>
    </x:font>
    <x:font>
      <x:b/>
      <x:sz val="14"/>
      <x:color rgb="FF000000"/>
      <x:name val="Calibri"/>
    </x:font>
    <x:font>
      <x:b/>
      <x:sz val="11"/>
      <x:color rgb="FF000000"/>
      <x:name val="Calibri"/>
    </x:font>
    <x:font>
      <x:b/>
      <x:sz val="10"/>
      <x:color rgb="FF000000"/>
      <x:name val="Calibri"/>
    </x:font>
    <x:font>
      <x:sz val="9"/>
      <x:color rgb="FF000000"/>
      <x:name val="Calibri"/>
    </x:font>
    <x:font>
      <x:sz val="8"/>
      <x:color rgb="FF000000"/>
      <x:name val="Calibri"/>
    </x:font>
    <x:font>
      <x:b/>
      <x:sz val="16"/>
      <x:color theme="1"/>
      <x:name val="Times New Roman"/>
    </x:font>
    <x:font>
      <x:b/>
      <x:sz val="12"/>
      <x:color rgb="FFFFFFFF"/>
      <x:name val="Times New Roman"/>
    </x:font>
    <x:font>
      <x:b/>
      <x:sz val="12"/>
      <x:color rgb="FF000000"/>
      <x:name val="Times New Roman"/>
    </x:font>
    <x:font>
      <x:sz val="12"/>
      <x:color rgb="FF000000"/>
      <x:name val="Times New Roman"/>
    </x:font>
    <x:font>
      <x:b/>
      <x:sz val="10"/>
      <x:color theme="4"/>
      <x:name val="Times New Roman"/>
    </x:font>
    <x:font>
      <x:b/>
      <x:sz val="10"/>
      <x:color rgb="FF2B4575"/>
      <x:name val="Times New Roman"/>
    </x:font>
    <x:font>
      <x:sz val="10"/>
      <x:color theme="1"/>
      <x:name val="Times New Roman"/>
    </x:font>
    <x:font>
      <x:sz val="10"/>
      <x:color rgb="FF7F7F7F"/>
      <x:name val="Times New Roman"/>
    </x:font>
    <x:font>
      <x:sz val="10"/>
      <x:color theme="0"/>
      <x:name val="Times New Roman"/>
    </x:font>
    <x:font>
      <x:sz val="10"/>
      <x:color rgb="FFD8D8D8"/>
      <x:name val="Times New Roman"/>
    </x:font>
    <x:font>
      <x:b/>
      <x:sz val="10"/>
      <x:color theme="0"/>
      <x:name val="Times New Roman"/>
    </x:font>
    <x:font>
      <x:b/>
      <x:sz val="10"/>
      <x:color theme="1"/>
      <x:name val="Times New Roman"/>
    </x:font>
    <x:font>
      <x:sz val="8"/>
      <x:color theme="1"/>
      <x:name val="Arial"/>
    </x:font>
    <x:font>
      <x:b/>
      <x:i/>
      <x:sz val="10"/>
      <x:color theme="1"/>
      <x:name val="Times New Roman"/>
    </x:font>
    <x:font>
      <x:sz val="10"/>
      <x:color rgb="FF000000"/>
      <x:name val="Times New Roman"/>
    </x:font>
    <x:font>
      <x:sz val="12"/>
      <x:color rgb="FF0000FF"/>
      <x:name val="Times New Roman"/>
    </x:font>
    <x:font>
      <x:b/>
      <x:sz val="14"/>
      <x:color theme="1"/>
      <x:name val="Arial"/>
    </x:font>
    <x:font>
      <x:b/>
      <x:sz val="10"/>
      <x:color theme="1"/>
      <x:name val="Arial"/>
    </x:font>
    <x:font>
      <x:b/>
      <x:sz val="18"/>
      <x:color theme="1"/>
      <x:name val="Arial"/>
    </x:font>
    <x:font>
      <x:i/>
      <x:sz val="10"/>
      <x:color theme="1"/>
      <x:name val="Arial"/>
    </x:font>
    <x:font>
      <x:sz val="10"/>
      <x:color theme="0"/>
      <x:name val="Arial"/>
    </x:font>
    <x:font>
      <x:sz val="10"/>
      <x:color rgb="FF00000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color theme="0"/>
      <x:name val="Arial"/>
    </x:font>
    <x:font>
      <x:sz val="10"/>
      <x:color rgb="FF7F7F7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409"/>
      <x:color rgb="FF000000"/>
      <x:name val="Arial"/>
    </x:font>
    <x:font>
      <x:b/>
      <x:i/>
      <x:sz val="409"/>
      <x:color rgb="FF000000"/>
      <x:name val="Arial"/>
    </x:font>
    <x:font>
      <x:b/>
      <x:sz val="409"/>
      <x:color rgb="FFFFFFFF"/>
      <x:name val="Arial"/>
    </x:font>
    <x:font>
      <x:b/>
      <x:i/>
      <x:sz val="409"/>
      <x:color rgb="FFFFFFFF"/>
      <x:name val="Arial"/>
    </x:font>
  </x:fonts>
  <x:fills count="28">
    <x:fill>
      <x:patternFill patternType="none"/>
    </x:fill>
    <x:fill>
      <x:patternFill patternType="gray125"/>
    </x:fill>
    <x:fill>
      <x:patternFill patternType="solid">
        <x:fgColor rgb="FFD8D8D8"/>
      </x:patternFill>
    </x:fill>
    <x:fill>
      <x:patternFill patternType="solid">
        <x:fgColor theme="0"/>
      </x:patternFill>
    </x:fill>
    <x:fill>
      <x:patternFill patternType="solid">
        <x:fgColor rgb="FFC9DAFB"/>
      </x:patternFill>
    </x:fill>
    <x:fill>
      <x:patternFill patternType="solid">
        <x:fgColor rgb="FFF2F2F2"/>
      </x:patternFill>
    </x:fill>
    <x:fill>
      <x:patternFill patternType="solid">
        <x:fgColor rgb="FFFFE600"/>
      </x:patternFill>
    </x:fill>
    <x:fill>
      <x:patternFill patternType="solid">
        <x:fgColor rgb="FFFFC000"/>
      </x:patternFill>
    </x:fill>
    <x:fill>
      <x:patternFill patternType="solid">
        <x:fgColor rgb="FFBED0EB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E9E0D7"/>
      </x:patternFill>
    </x:fill>
    <x:fill>
      <x:patternFill patternType="solid">
        <x:fgColor rgb="FFD3DDEE"/>
      </x:patternFill>
    </x:fill>
    <x:fill>
      <x:patternFill patternType="solid">
        <x:fgColor theme="4"/>
      </x:patternFill>
    </x:fill>
    <x:fill>
      <x:patternFill patternType="solid">
        <x:fgColor rgb="FF7F7F7F"/>
      </x:patternFill>
    </x:fill>
    <x:fill>
      <x:patternFill patternType="solid">
        <x:fgColor rgb="FF7D9ACE"/>
      </x:patternFill>
    </x:fill>
    <x:fill>
      <x:patternFill patternType="solid">
        <x:fgColor rgb="FFDEE7F5"/>
      </x:patternFill>
    </x:fill>
    <x:fill>
      <x:patternFill patternType="solid">
        <x:fgColor rgb="FFDEE8F5"/>
      </x:patternFill>
    </x:fill>
    <x:fill>
      <x:patternFill patternType="solid">
        <x:fgColor rgb="FFBFBFBF"/>
      </x:patternFill>
    </x:fill>
    <x:fill>
      <x:patternFill patternType="solid">
        <x:fgColor rgb="FF00B050"/>
      </x:patternFill>
    </x:fill>
    <x:fill>
      <x:patternFill patternType="solid">
        <x:fgColor rgb="FF3366FF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70AD47"/>
      </x:patternFill>
    </x:fill>
    <x:fill>
      <x:patternFill patternType="solid">
        <x:fgColor rgb="FFFFFFFF"/>
      </x:patternFill>
    </x:fill>
    <x:fill>
      <x:patternFill patternType="solid">
        <x:fgColor rgb="FF70AD47"/>
      </x:patternFill>
    </x:fill>
  </x:fills>
  <x:borders count="81">
    <x:border/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medium">
        <x:color rgb="FF000000"/>
      </x:right>
    </x:border>
    <x:border>
      <x:left style="medium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</x:border>
    <x:border>
      <x:right style="thin">
        <x:color rgb="FF000000"/>
      </x:right>
    </x:border>
    <x:border/>
    <x:border>
      <x:right style="thin">
        <x:color rgb="FF000000"/>
      </x:right>
    </x:border>
    <x:border>
      <x:left style="medium">
        <x:color rgb="FF000000"/>
      </x:left>
    </x:border>
    <x:border>
      <x:right style="medium">
        <x:color rgb="FF000000"/>
      </x:right>
    </x:border>
    <x:border>
      <x:left style="thin">
        <x:color rgb="FF000000"/>
      </x:left>
    </x:border>
    <x:border>
      <x:left style="thin">
        <x:color rgb="FF000000"/>
      </x:lef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70C0"/>
      </x:left>
      <x:right style="thin">
        <x:color theme="4"/>
      </x:right>
      <x:top style="thin">
        <x:color rgb="FF0070C0"/>
      </x:top>
      <x:bottom style="thin">
        <x:color theme="4"/>
      </x:bottom>
    </x:border>
    <x:border>
      <x:left style="thin">
        <x:color theme="4"/>
      </x:left>
      <x:right style="thin">
        <x:color theme="4"/>
      </x:right>
      <x:top style="thin">
        <x:color rgb="FF0070C0"/>
      </x:top>
      <x:bottom style="thin">
        <x:color theme="4"/>
      </x:bottom>
    </x:border>
    <x:border>
      <x:left style="thin">
        <x:color theme="4"/>
      </x:left>
      <x:right style="thin">
        <x:color rgb="FF0070C0"/>
      </x:right>
      <x:top style="thin">
        <x:color rgb="FF0070C0"/>
      </x:top>
      <x:bottom style="thin">
        <x:color theme="4"/>
      </x:bottom>
    </x:border>
    <x:border>
      <x:left style="thin">
        <x:color rgb="FF0070C0"/>
      </x:left>
      <x:right style="thin">
        <x:color theme="4"/>
      </x:right>
    </x:border>
    <x:border>
      <x:left style="thin">
        <x:color theme="4"/>
      </x:left>
      <x:top style="thin">
        <x:color theme="4"/>
      </x:top>
      <x:bottom style="thin">
        <x:color theme="4"/>
      </x:bottom>
    </x:border>
    <x:border>
      <x:right style="thin">
        <x:color theme="4"/>
      </x:right>
      <x:top style="thin">
        <x:color theme="4"/>
      </x:top>
      <x:bottom style="thin">
        <x:color theme="4"/>
      </x:bottom>
    </x:border>
    <x:border>
      <x:left style="thin">
        <x:color theme="4"/>
      </x:left>
      <x:right style="thin">
        <x:color rgb="FF0070C0"/>
      </x:right>
    </x:border>
    <x:border>
      <x:left style="thin">
        <x:color rgb="FF0070C0"/>
      </x:left>
      <x:right style="thin">
        <x:color theme="4"/>
      </x:right>
      <x:top style="thin">
        <x:color theme="4"/>
      </x:top>
      <x:bottom style="thin">
        <x:color theme="4"/>
      </x:bottom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theme="4"/>
      </x:bottom>
    </x:border>
    <x:border>
      <x:left style="thin">
        <x:color theme="4"/>
      </x:left>
      <x:right style="thin">
        <x:color rgb="FF0070C0"/>
      </x:right>
      <x:top style="thin">
        <x:color theme="4"/>
      </x:top>
      <x:bottom style="thin">
        <x:color theme="4"/>
      </x:bottom>
    </x:border>
    <x:border>
      <x:right style="thin">
        <x:color rgb="FF0070C0"/>
      </x:right>
    </x:border>
    <x:border>
      <x:left style="thin">
        <x:color theme="4"/>
      </x:left>
      <x:top style="thin">
        <x:color theme="4"/>
      </x:top>
      <x:bottom style="thin">
        <x:color theme="4"/>
      </x:bottom>
    </x:border>
    <x:border>
      <x:top style="thin">
        <x:color theme="4"/>
      </x:top>
      <x:bottom style="thin">
        <x:color theme="4"/>
      </x:bottom>
    </x:border>
    <x:border>
      <x:right style="thin">
        <x:color rgb="FF0070C0"/>
      </x:right>
      <x:top style="thin">
        <x:color theme="4"/>
      </x:top>
      <x:bottom style="thin">
        <x:color theme="4"/>
      </x:bottom>
    </x:border>
    <x:border>
      <x:left style="thin">
        <x:color rgb="FF0070C0"/>
      </x:left>
      <x:top style="thin">
        <x:color theme="4"/>
      </x:top>
      <x:bottom style="thin">
        <x:color theme="4"/>
      </x:bottom>
    </x:border>
    <x:border>
      <x:right style="thin">
        <x:color theme="4"/>
      </x:right>
      <x:top style="thin">
        <x:color theme="4"/>
      </x:top>
      <x:bottom style="thin">
        <x:color theme="4"/>
      </x:bottom>
    </x:border>
    <x:border>
      <x:right style="thin">
        <x:color theme="4"/>
      </x:right>
      <x:top style="thin">
        <x:color theme="4"/>
      </x:top>
    </x:border>
    <x:border>
      <x:left style="thin">
        <x:color theme="4"/>
      </x:left>
      <x:right style="thin">
        <x:color theme="4"/>
      </x:right>
      <x:top style="thin">
        <x:color theme="4"/>
      </x:top>
    </x:border>
    <x:border>
      <x:left style="thin">
        <x:color theme="4"/>
      </x:left>
      <x:top style="thin">
        <x:color theme="4"/>
      </x:top>
    </x:border>
    <x:border>
      <x:left style="thin">
        <x:color rgb="FF0070C0"/>
      </x:left>
      <x:right style="thin">
        <x:color theme="4"/>
      </x:right>
      <x:top style="thin">
        <x:color theme="4"/>
      </x:top>
      <x:bottom style="thin">
        <x:color rgb="FF0070C0"/>
      </x:bottom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rgb="FF0070C0"/>
      </x:bottom>
    </x:border>
    <x:border>
      <x:left style="thin">
        <x:color theme="4"/>
      </x:left>
      <x:right style="thin">
        <x:color rgb="FF0070C0"/>
      </x:right>
      <x:top style="thin">
        <x:color theme="4"/>
      </x:top>
      <x:bottom style="thin">
        <x:color rgb="FF0070C0"/>
      </x:bottom>
    </x:border>
    <x:border>
      <x:left style="thin">
        <x:color rgb="FFA5A5A5"/>
      </x:left>
      <x:top style="thin">
        <x:color rgb="FFA5A5A5"/>
      </x:top>
      <x:bottom style="thin">
        <x:color rgb="FFA5A5A5"/>
      </x:bottom>
    </x:border>
    <x:border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bottom style="thin">
        <x:color rgb="FFBFBFBF"/>
      </x:bottom>
    </x:border>
    <x:border>
      <x:left style="thin">
        <x:color rgb="FFD8D8D8"/>
      </x:left>
      <x:right style="thin">
        <x:color rgb="FFD8D8D8"/>
      </x:right>
      <x:top style="thin">
        <x:color rgb="FFBFBFBF"/>
      </x:top>
    </x:border>
    <x:border>
      <x:top style="thin">
        <x:color rgb="FFA5A5A5"/>
      </x:top>
    </x:border>
    <x:border>
      <x:left style="thin">
        <x:color rgb="FFD8D8D8"/>
      </x:left>
      <x:right style="thin">
        <x:color rgb="FFD8D8D8"/>
      </x:right>
      <x:bottom style="medium">
        <x:color rgb="FFD8D8D8"/>
      </x:bottom>
    </x:border>
    <x:border>
      <x:left style="thin">
        <x:color rgb="FFD8D8D8"/>
      </x:left>
      <x:right style="thin">
        <x:color rgb="FFD8D8D8"/>
      </x:right>
      <x:top style="medium">
        <x:color rgb="FFD8D8D8"/>
      </x:top>
      <x:bottom style="medium">
        <x:color rgb="FFD8D8D8"/>
      </x:bottom>
    </x:border>
    <x:border>
      <x:top style="medium">
        <x:color rgb="FFD8D8D8"/>
      </x:top>
      <x:bottom style="medium">
        <x:color rgb="FFD8D8D8"/>
      </x:bottom>
    </x:border>
    <x:border>
      <x:left style="thin">
        <x:color rgb="FFD8D8D8"/>
      </x:left>
      <x:top style="medium">
        <x:color rgb="FFD8D8D8"/>
      </x:top>
      <x:bottom style="medium">
        <x:color rgb="FFD8D8D8"/>
      </x:bottom>
    </x:border>
    <x:border>
      <x:right style="thin">
        <x:color rgb="FFD8D8D8"/>
      </x:right>
      <x:top style="medium">
        <x:color rgb="FFD8D8D8"/>
      </x:top>
      <x:bottom style="medium">
        <x:color rgb="FFD8D8D8"/>
      </x:bottom>
    </x:border>
    <x:border>
      <x:top style="medium">
        <x:color rgb="FFD8D8D8"/>
      </x:top>
      <x:bottom style="medium">
        <x:color rgb="FFD8D8D8"/>
      </x:bottom>
    </x:border>
    <x:border>
      <x:left style="thin">
        <x:color rgb="FFD8D8D8"/>
      </x:left>
      <x:top style="medium">
        <x:color rgb="FFD8D8D8"/>
      </x:top>
      <x:bottom style="medium">
        <x:color rgb="FFD8D8D8"/>
      </x:bottom>
    </x:border>
    <x:border>
      <x:left style="thin">
        <x:color rgb="FFD9D9D9"/>
      </x:left>
      <x:top style="medium">
        <x:color rgb="FFD9D9D9"/>
      </x:top>
      <x:bottom style="medium">
        <x:color rgb="FFD9D9D9"/>
      </x:bottom>
    </x:border>
    <x:border/>
    <x:border/>
    <x:border/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double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303">
    <x:xf numFmtId="0" fontId="0" fillId="0" borderId="0" xfId="0"/>
    <x:xf numFmtId="0" fontId="1" fillId="0" borderId="0" xfId="0" applyFont="1"/>
    <x:xf numFmtId="0" fontId="4" fillId="0" borderId="0" xfId="0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5" fillId="2" borderId="17" xfId="0" applyFont="1" applyFill="1" applyBorder="1"/>
    <x:xf numFmtId="0" fontId="6" fillId="4" borderId="26" xfId="0" applyFont="1" applyFill="1" applyBorder="1" applyAlignment="1">
      <x:alignment horizontal="left" vertical="center" wrapText="1"/>
    </x:xf>
    <x:xf numFmtId="0" fontId="8" fillId="0" borderId="0" xfId="0" applyFont="1"/>
    <x:xf numFmtId="0" fontId="7" fillId="0" borderId="26" xfId="0" applyFont="1" applyBorder="1" applyAlignment="1">
      <x:alignment horizontal="left" vertical="top" wrapText="1"/>
    </x:xf>
    <x:xf numFmtId="0" fontId="9" fillId="0" borderId="0" xfId="0" applyFont="1"/>
    <x:xf numFmtId="0" fontId="10" fillId="0" borderId="0" xfId="0" applyFont="1"/>
    <x:xf numFmtId="164" fontId="10" fillId="0" borderId="0" xfId="0" applyNumberFormat="1" applyFont="1"/>
    <x:xf numFmtId="0" fontId="11" fillId="5" borderId="26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/>
    </x:xf>
    <x:xf numFmtId="0" fontId="14" fillId="6" borderId="26" xfId="0" applyFont="1" applyFill="1" applyBorder="1" applyAlignment="1">
      <x:alignment horizontal="center" vertical="center" wrapText="1"/>
    </x:xf>
    <x:xf numFmtId="0" fontId="14" fillId="6" borderId="26" xfId="0" applyFont="1" applyFill="1" applyBorder="1" applyAlignment="1">
      <x:alignment wrapText="1"/>
    </x:xf>
    <x:xf numFmtId="0" fontId="16" fillId="0" borderId="26" xfId="0" applyFont="1" applyBorder="1" applyAlignment="1">
      <x:alignment horizontal="center" vertical="center"/>
    </x:xf>
    <x:xf numFmtId="0" fontId="11" fillId="5" borderId="26" xfId="0" applyFont="1" applyFill="1" applyBorder="1" applyAlignment="1">
      <x:alignment vertical="center" wrapText="1"/>
    </x:xf>
    <x:xf numFmtId="0" fontId="11" fillId="5" borderId="26" xfId="0" applyFont="1" applyFill="1" applyBorder="1" applyAlignment="1">
      <x:alignment vertical="center"/>
    </x:xf>
    <x:xf numFmtId="3" fontId="11" fillId="5" borderId="26" xfId="0" applyNumberFormat="1" applyFont="1" applyFill="1" applyBorder="1" applyAlignment="1">
      <x:alignment horizontal="center" vertical="center"/>
    </x:xf>
    <x:xf numFmtId="164" fontId="11" fillId="5" borderId="26" xfId="0" applyNumberFormat="1" applyFont="1" applyFill="1" applyBorder="1" applyAlignment="1">
      <x:alignment horizontal="center" vertical="center"/>
    </x:xf>
    <x:xf numFmtId="3" fontId="11" fillId="5" borderId="34" xfId="0" applyNumberFormat="1" applyFont="1" applyFill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7" fillId="0" borderId="0" xfId="0" applyFont="1" applyAlignment="1">
      <x:alignment horizontal="left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vertical="center"/>
    </x:xf>
    <x:xf numFmtId="0" fontId="7" fillId="0" borderId="0" xfId="0" applyFont="1" applyAlignment="1">
      <x:alignment horizontal="right" vertical="center"/>
    </x:xf>
    <x:xf numFmtId="0" fontId="19" fillId="9" borderId="35" xfId="0" applyFont="1" applyFill="1" applyBorder="1" applyAlignment="1">
      <x:alignment horizontal="center" vertical="center" wrapText="1"/>
    </x:xf>
    <x:xf numFmtId="0" fontId="19" fillId="9" borderId="36" xfId="0" applyFont="1" applyFill="1" applyBorder="1" applyAlignment="1">
      <x:alignment horizontal="center" vertical="center" wrapText="1"/>
    </x:xf>
    <x:xf numFmtId="0" fontId="19" fillId="9" borderId="37" xfId="0" applyFont="1" applyFill="1" applyBorder="1" applyAlignment="1">
      <x:alignment horizontal="center" vertical="center" wrapText="1"/>
    </x:xf>
    <x:xf numFmtId="0" fontId="19" fillId="9" borderId="17" xfId="0" applyFont="1" applyFill="1" applyBorder="1" applyAlignment="1">
      <x:alignment horizontal="center" vertical="center" wrapText="1"/>
    </x:xf>
    <x:xf numFmtId="0" fontId="6" fillId="10" borderId="38" xfId="0" applyFont="1" applyFill="1" applyBorder="1" applyAlignment="1">
      <x:alignment horizontal="center" vertical="center" wrapText="1"/>
    </x:xf>
    <x:xf numFmtId="0" fontId="20" fillId="10" borderId="17" xfId="0" applyFont="1" applyFill="1" applyBorder="1" applyAlignment="1">
      <x:alignment horizontal="right" vertical="center" wrapText="1"/>
    </x:xf>
    <x:xf numFmtId="0" fontId="20" fillId="10" borderId="41" xfId="0" applyFont="1" applyFill="1" applyBorder="1" applyAlignment="1">
      <x:alignment horizontal="right" vertical="center" wrapText="1"/>
    </x:xf>
    <x:xf numFmtId="0" fontId="7" fillId="0" borderId="42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right" vertical="center" wrapText="1"/>
    </x:xf>
    <x:xf numFmtId="14" fontId="21" fillId="0" borderId="43" xfId="0" applyNumberFormat="1" applyFont="1" applyBorder="1" applyAlignment="1">
      <x:alignment horizontal="left" vertical="center" wrapText="1"/>
    </x:xf>
    <x:xf numFmtId="0" fontId="21" fillId="11" borderId="43" xfId="0" applyFont="1" applyFill="1" applyBorder="1" applyAlignment="1">
      <x:alignment horizontal="left" vertical="center" wrapText="1"/>
    </x:xf>
    <x:xf numFmtId="14" fontId="21" fillId="11" borderId="43" xfId="0" applyNumberFormat="1" applyFont="1" applyFill="1" applyBorder="1" applyAlignment="1">
      <x:alignment horizontal="left" vertical="center" wrapText="1"/>
    </x:xf>
    <x:xf numFmtId="0" fontId="21" fillId="0" borderId="39" xfId="0" applyFont="1" applyBorder="1" applyAlignment="1">
      <x:alignment horizontal="left" vertical="center" wrapText="1"/>
    </x:xf>
    <x:xf numFmtId="0" fontId="21" fillId="0" borderId="45" xfId="0" applyFont="1" applyBorder="1" applyAlignment="1">
      <x:alignment horizontal="right" vertical="center" wrapText="1"/>
    </x:xf>
    <x:xf numFmtId="0" fontId="20" fillId="10" borderId="46" xfId="0" applyFont="1" applyFill="1" applyBorder="1" applyAlignment="1">
      <x:alignment horizontal="center" vertical="center" wrapText="1"/>
    </x:xf>
    <x:xf numFmtId="0" fontId="20" fillId="10" borderId="46" xfId="0" applyFont="1" applyFill="1" applyBorder="1" applyAlignment="1">
      <x:alignment vertical="center" wrapText="1"/>
    </x:xf>
    <x:xf numFmtId="0" fontId="20" fillId="12" borderId="42" xfId="0" applyFont="1" applyFill="1" applyBorder="1" applyAlignment="1">
      <x:alignment horizontal="center" vertical="center" wrapText="1"/>
    </x:xf>
    <x:xf numFmtId="0" fontId="21" fillId="3" borderId="43" xfId="0" applyFont="1" applyFill="1" applyBorder="1" applyAlignment="1">
      <x:alignment vertical="center" wrapText="1"/>
    </x:xf>
    <x:xf numFmtId="0" fontId="21" fillId="3" borderId="43" xfId="0" applyFont="1" applyFill="1" applyBorder="1" applyAlignment="1">
      <x:alignment horizontal="center" vertical="center" wrapText="1"/>
    </x:xf>
    <x:xf numFmtId="0" fontId="21" fillId="3" borderId="43" xfId="0" applyFont="1" applyFill="1" applyBorder="1" applyAlignment="1">
      <x:alignment horizontal="right" vertical="center" wrapText="1"/>
    </x:xf>
    <x:xf numFmtId="0" fontId="20" fillId="3" borderId="44" xfId="0" applyFont="1" applyFill="1" applyBorder="1" applyAlignment="1">
      <x:alignment horizontal="right" vertical="center" wrapText="1"/>
    </x:xf>
    <x:xf numFmtId="0" fontId="21" fillId="3" borderId="50" xfId="0" applyFont="1" applyFill="1" applyBorder="1" applyAlignment="1">
      <x:alignment horizontal="right" vertical="center" wrapText="1"/>
    </x:xf>
    <x:xf numFmtId="0" fontId="20" fillId="12" borderId="43" xfId="0" applyFont="1" applyFill="1" applyBorder="1" applyAlignment="1">
      <x:alignment horizontal="center" vertical="center" wrapText="1"/>
    </x:xf>
    <x:xf numFmtId="0" fontId="21" fillId="3" borderId="51" xfId="0" applyFont="1" applyFill="1" applyBorder="1" applyAlignment="1">
      <x:alignment horizontal="right" vertical="center" wrapText="1"/>
    </x:xf>
    <x:xf numFmtId="0" fontId="21" fillId="3" borderId="52" xfId="0" applyFont="1" applyFill="1" applyBorder="1" applyAlignment="1">
      <x:alignment vertical="center" wrapText="1"/>
    </x:xf>
    <x:xf numFmtId="9" fontId="5" fillId="0" borderId="0" xfId="0" applyNumberFormat="1" applyFont="1"/>
    <x:xf numFmtId="0" fontId="20" fillId="13" borderId="54" xfId="0" applyFont="1" applyFill="1" applyBorder="1" applyAlignment="1">
      <x:alignment horizontal="left" vertical="center" wrapText="1"/>
    </x:xf>
    <x:xf numFmtId="0" fontId="20" fillId="13" borderId="55" xfId="0" applyFont="1" applyFill="1" applyBorder="1" applyAlignment="1">
      <x:alignment horizontal="center" vertical="center" wrapText="1"/>
    </x:xf>
    <x:xf numFmtId="0" fontId="20" fillId="13" borderId="56" xfId="0" applyFont="1" applyFill="1" applyBorder="1" applyAlignment="1">
      <x:alignment horizontal="right" vertical="center" wrapText="1"/>
    </x:xf>
    <x:xf numFmtId="0" fontId="22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0" fontId="24" fillId="0" borderId="0" xfId="0" applyFont="1"/>
    <x:xf numFmtId="0" fontId="24" fillId="0" borderId="0" xfId="0" applyFont="1" applyAlignment="1">
      <x:alignment horizontal="left"/>
    </x:xf>
    <x:xf numFmtId="0" fontId="24" fillId="0" borderId="0" xfId="0" applyFont="1" applyAlignment="1">
      <x:alignment horizontal="center"/>
    </x:xf>
    <x:xf numFmtId="0" fontId="25" fillId="0" borderId="0" xfId="0" applyFont="1" applyAlignment="1">
      <x:alignment vertical="center"/>
    </x:xf>
    <x:xf numFmtId="0" fontId="26" fillId="0" borderId="0" xfId="0" applyFont="1"/>
    <x:xf numFmtId="0" fontId="25" fillId="0" borderId="0" xfId="0" applyFont="1" applyAlignment="1">
      <x:alignment horizontal="left"/>
    </x:xf>
    <x:xf numFmtId="0" fontId="24" fillId="0" borderId="0" xfId="0" applyFont="1" applyAlignment="1">
      <x:alignment horizontal="right" vertical="center"/>
    </x:xf>
    <x:xf numFmtId="0" fontId="24" fillId="0" borderId="59" xfId="0" applyFont="1" applyBorder="1" applyAlignment="1">
      <x:alignment horizontal="center" vertical="center"/>
    </x:xf>
    <x:xf numFmtId="0" fontId="24" fillId="0" borderId="60" xfId="0" applyFont="1" applyBorder="1" applyAlignment="1">
      <x:alignment horizontal="center" vertical="center"/>
    </x:xf>
    <x:xf numFmtId="14" fontId="27" fillId="0" borderId="61" xfId="0" applyNumberFormat="1" applyFont="1" applyBorder="1"/>
    <x:xf numFmtId="14" fontId="24" fillId="13" borderId="62" xfId="0" applyNumberFormat="1" applyFont="1" applyFill="1" applyBorder="1" applyAlignment="1">
      <x:alignment horizontal="center" vertical="center" wrapText="1"/>
    </x:xf>
    <x:xf numFmtId="0" fontId="28" fillId="14" borderId="63" xfId="0" applyFont="1" applyFill="1" applyBorder="1" applyAlignment="1">
      <x:alignment horizontal="center" vertical="center"/>
    </x:xf>
    <x:xf numFmtId="0" fontId="28" fillId="14" borderId="63" xfId="0" applyFont="1" applyFill="1" applyBorder="1" applyAlignment="1">
      <x:alignment horizontal="left" vertical="center"/>
    </x:xf>
    <x:xf numFmtId="0" fontId="28" fillId="14" borderId="63" xfId="0" applyFont="1" applyFill="1" applyBorder="1" applyAlignment="1">
      <x:alignment horizontal="center" vertical="center" wrapText="1"/>
    </x:xf>
    <x:xf numFmtId="0" fontId="28" fillId="15" borderId="63" xfId="0" applyFont="1" applyFill="1" applyBorder="1" applyAlignment="1">
      <x:alignment horizontal="center" vertical="center" wrapText="1"/>
    </x:xf>
    <x:xf numFmtId="0" fontId="24" fillId="16" borderId="64" xfId="0" applyFont="1" applyFill="1" applyBorder="1" applyAlignment="1">
      <x:alignment horizontal="center" vertical="center"/>
    </x:xf>
    <x:xf numFmtId="0" fontId="24" fillId="0" borderId="65" xfId="0" applyFont="1" applyBorder="1" applyAlignment="1">
      <x:alignment horizontal="center" vertical="center"/>
    </x:xf>
    <x:xf numFmtId="9" fontId="24" fillId="0" borderId="65" xfId="0" applyNumberFormat="1" applyFont="1" applyBorder="1" applyAlignment="1">
      <x:alignment horizontal="center" vertical="center"/>
    </x:xf>
    <x:xf numFmtId="0" fontId="24" fillId="0" borderId="66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29" fillId="16" borderId="65" xfId="0" applyFont="1" applyFill="1" applyBorder="1" applyAlignment="1">
      <x:alignment horizontal="center" vertical="center"/>
    </x:xf>
    <x:xf numFmtId="9" fontId="24" fillId="16" borderId="65" xfId="0" applyNumberFormat="1" applyFont="1" applyFill="1" applyBorder="1" applyAlignment="1">
      <x:alignment horizontal="center" vertical="center"/>
    </x:xf>
    <x:xf numFmtId="0" fontId="24" fillId="16" borderId="65" xfId="0" applyFont="1" applyFill="1" applyBorder="1" applyAlignment="1">
      <x:alignment horizontal="center" vertical="center"/>
    </x:xf>
    <x:xf numFmtId="0" fontId="30" fillId="0" borderId="0" xfId="0" applyFont="1" applyAlignment="1">
      <x:alignment vertical="center"/>
    </x:xf>
    <x:xf numFmtId="0" fontId="29" fillId="17" borderId="65" xfId="0" applyFont="1" applyFill="1" applyBorder="1" applyAlignment="1">
      <x:alignment horizontal="center" vertical="center"/>
    </x:xf>
    <x:xf numFmtId="9" fontId="24" fillId="17" borderId="65" xfId="0" applyNumberFormat="1" applyFont="1" applyFill="1" applyBorder="1" applyAlignment="1">
      <x:alignment horizontal="center" vertical="center"/>
    </x:xf>
    <x:xf numFmtId="0" fontId="24" fillId="17" borderId="65" xfId="0" applyFont="1" applyFill="1" applyBorder="1" applyAlignment="1">
      <x:alignment horizontal="center" vertical="center"/>
    </x:xf>
    <x:xf numFmtId="0" fontId="24" fillId="3" borderId="69" xfId="0" applyFont="1" applyFill="1" applyBorder="1" applyAlignment="1">
      <x:alignment vertical="center"/>
    </x:xf>
    <x:xf numFmtId="0" fontId="30" fillId="3" borderId="69" xfId="0" applyFont="1" applyFill="1" applyBorder="1" applyAlignment="1">
      <x:alignment vertical="center"/>
    </x:xf>
    <x:xf numFmtId="2" fontId="24" fillId="3" borderId="69" xfId="0" applyNumberFormat="1" applyFont="1" applyFill="1" applyBorder="1" applyAlignment="1">
      <x:alignment vertical="center"/>
    </x:xf>
    <x:xf numFmtId="0" fontId="29" fillId="17" borderId="70" xfId="0" applyFont="1" applyFill="1" applyBorder="1" applyAlignment="1">
      <x:alignment horizontal="left" vertical="center"/>
    </x:xf>
    <x:xf numFmtId="0" fontId="24" fillId="17" borderId="70" xfId="0" applyFont="1" applyFill="1" applyBorder="1" applyAlignment="1">
      <x:alignment horizontal="left" vertical="center"/>
    </x:xf>
    <x:xf numFmtId="0" fontId="31" fillId="17" borderId="65" xfId="0" applyFont="1" applyFill="1" applyBorder="1" applyAlignment="1">
      <x:alignment horizontal="center" vertical="center"/>
    </x:xf>
    <x:xf numFmtId="0" fontId="7" fillId="0" borderId="0" xfId="0" applyFont="1"/>
    <x:xf numFmtId="0" fontId="6" fillId="7" borderId="26" xfId="0" applyFont="1" applyFill="1" applyBorder="1" applyAlignment="1">
      <x:alignment horizontal="center" vertical="center" wrapText="1"/>
    </x:xf>
    <x:xf numFmtId="49" fontId="7" fillId="0" borderId="26" xfId="0" applyNumberFormat="1" applyFont="1" applyBorder="1" applyAlignment="1">
      <x:alignment horizontal="center" vertical="top" wrapText="1"/>
    </x:xf>
    <x:xf numFmtId="0" fontId="33" fillId="0" borderId="26" xfId="0" applyFont="1" applyBorder="1" applyAlignment="1">
      <x:alignment horizontal="left" vertical="top" wrapText="1"/>
    </x:xf>
    <x:xf numFmtId="0" fontId="7" fillId="3" borderId="26" xfId="0" applyFont="1" applyFill="1" applyBorder="1" applyAlignment="1">
      <x:alignment horizontal="left" vertical="top" wrapText="1"/>
    </x:xf>
    <x:xf numFmtId="0" fontId="9" fillId="0" borderId="28" xfId="0" applyFont="1" applyBorder="1"/>
    <x:xf numFmtId="0" fontId="9" fillId="0" borderId="31" xfId="0" applyFont="1" applyBorder="1"/>
    <x:xf numFmtId="0" fontId="9" fillId="0" borderId="31" xfId="0" applyFont="1" applyBorder="1" applyAlignment="1">
      <x:alignment horizontal="center" vertical="top" wrapText="1"/>
    </x:xf>
    <x:xf numFmtId="0" fontId="9" fillId="0" borderId="31" xfId="0" applyFont="1" applyBorder="1" applyAlignment="1">
      <x:alignment horizontal="center"/>
    </x:xf>
    <x:xf numFmtId="0" fontId="34" fillId="11" borderId="13" xfId="0" applyFont="1" applyFill="1" applyBorder="1" applyAlignment="1">
      <x:alignment horizontal="left" vertical="top" wrapText="1"/>
    </x:xf>
    <x:xf numFmtId="0" fontId="35" fillId="11" borderId="13" xfId="0" applyFont="1" applyFill="1" applyBorder="1" applyAlignment="1">
      <x:alignment horizontal="left" vertical="top" wrapText="1"/>
    </x:xf>
    <x:xf numFmtId="0" fontId="35" fillId="11" borderId="13" xfId="0" applyFont="1" applyFill="1" applyBorder="1" applyAlignment="1">
      <x:alignment horizontal="center" vertical="top"/>
    </x:xf>
    <x:xf numFmtId="15" fontId="34" fillId="11" borderId="13" xfId="0" applyNumberFormat="1" applyFont="1" applyFill="1" applyBorder="1" applyAlignment="1">
      <x:alignment horizontal="center" vertical="top" wrapText="1"/>
    </x:xf>
    <x:xf numFmtId="0" fontId="35" fillId="0" borderId="13" xfId="0" applyFont="1" applyBorder="1" applyAlignment="1">
      <x:alignment horizontal="left" vertical="top" wrapText="1"/>
    </x:xf>
    <x:xf numFmtId="0" fontId="35" fillId="0" borderId="12" xfId="0" applyFont="1" applyBorder="1" applyAlignment="1">
      <x:alignment vertical="top" wrapText="1"/>
    </x:xf>
    <x:xf numFmtId="0" fontId="9" fillId="0" borderId="21" xfId="0" applyFont="1" applyBorder="1"/>
    <x:xf numFmtId="0" fontId="9" fillId="0" borderId="0" xfId="0" applyFont="1" applyAlignment="1">
      <x:alignment horizontal="center" vertical="top" wrapText="1"/>
    </x:xf>
    <x:xf numFmtId="0" fontId="9" fillId="0" borderId="0" xfId="0" applyFont="1" applyAlignment="1">
      <x:alignment horizontal="center"/>
    </x:xf>
    <x:xf numFmtId="0" fontId="34" fillId="11" borderId="17" xfId="0" applyFont="1" applyFill="1" applyBorder="1" applyAlignment="1">
      <x:alignment vertical="top" wrapText="1"/>
    </x:xf>
    <x:xf numFmtId="0" fontId="36" fillId="3" borderId="17" xfId="0" applyFont="1" applyFill="1" applyBorder="1" applyAlignment="1">
      <x:alignment horizontal="left"/>
    </x:xf>
    <x:xf numFmtId="15" fontId="34" fillId="11" borderId="17" xfId="0" applyNumberFormat="1" applyFont="1" applyFill="1" applyBorder="1" applyAlignment="1">
      <x:alignment horizontal="center" vertical="top" wrapText="1"/>
    </x:xf>
    <x:xf numFmtId="0" fontId="35" fillId="0" borderId="17" xfId="0" applyFont="1" applyBorder="1" applyAlignment="1">
      <x:alignment horizontal="left" vertical="top" wrapText="1"/>
    </x:xf>
    <x:xf numFmtId="0" fontId="35" fillId="0" borderId="18" xfId="0" applyFont="1" applyBorder="1" applyAlignment="1">
      <x:alignment vertical="top" wrapText="1"/>
    </x:xf>
    <x:xf numFmtId="0" fontId="9" fillId="11" borderId="18" xfId="0" applyFont="1" applyFill="1" applyBorder="1" applyAlignment="1">
      <x:alignment horizontal="center" vertical="top" wrapText="1"/>
    </x:xf>
    <x:xf numFmtId="0" fontId="35" fillId="11" borderId="17" xfId="0" applyFont="1" applyFill="1" applyBorder="1" applyAlignment="1">
      <x:alignment vertical="top" wrapText="1"/>
    </x:xf>
    <x:xf numFmtId="0" fontId="9" fillId="11" borderId="17" xfId="0" applyFont="1" applyFill="1" applyBorder="1" applyAlignment="1">
      <x:alignment vertical="top" wrapText="1"/>
    </x:xf>
    <x:xf numFmtId="0" fontId="9" fillId="11" borderId="17" xfId="0" applyFont="1" applyFill="1" applyBorder="1" applyAlignment="1">
      <x:alignment horizontal="left" vertical="top" wrapText="1"/>
    </x:xf>
    <x:xf numFmtId="15" fontId="4" fillId="11" borderId="17" xfId="0" applyNumberFormat="1" applyFont="1" applyFill="1" applyBorder="1" applyAlignment="1">
      <x:alignment horizontal="center" vertical="top"/>
    </x:xf>
    <x:xf numFmtId="15" fontId="9" fillId="11" borderId="26" xfId="0" applyNumberFormat="1" applyFont="1" applyFill="1" applyBorder="1" applyAlignment="1">
      <x:alignment horizontal="center" vertical="top" wrapText="1"/>
    </x:xf>
    <x:xf numFmtId="0" fontId="9" fillId="19" borderId="26" xfId="0" applyFont="1" applyFill="1" applyBorder="1" applyAlignment="1">
      <x:alignment horizontal="center" vertical="top" wrapText="1"/>
    </x:xf>
    <x:xf numFmtId="0" fontId="37" fillId="11" borderId="18" xfId="0" applyFont="1" applyFill="1" applyBorder="1" applyAlignment="1">
      <x:alignment horizontal="center" vertical="top" wrapText="1"/>
    </x:xf>
    <x:xf numFmtId="0" fontId="35" fillId="11" borderId="17" xfId="0" applyFont="1" applyFill="1" applyBorder="1" applyAlignment="1">
      <x:alignment vertical="center" wrapText="1"/>
    </x:xf>
    <x:xf numFmtId="0" fontId="9" fillId="11" borderId="17" xfId="0" applyFont="1" applyFill="1" applyBorder="1" applyAlignment="1">
      <x:alignment horizontal="left" vertical="center"/>
    </x:xf>
    <x:xf numFmtId="15" fontId="9" fillId="11" borderId="17" xfId="0" applyNumberFormat="1" applyFont="1" applyFill="1" applyBorder="1" applyAlignment="1">
      <x:alignment horizontal="center" vertical="top" wrapText="1"/>
    </x:xf>
    <x:xf numFmtId="0" fontId="9" fillId="20" borderId="26" xfId="0" applyFont="1" applyFill="1" applyBorder="1" applyAlignment="1">
      <x:alignment horizontal="center" vertical="top" wrapText="1"/>
    </x:xf>
    <x:xf numFmtId="0" fontId="38" fillId="21" borderId="26" xfId="0" applyFont="1" applyFill="1" applyBorder="1" applyAlignment="1">
      <x:alignment horizontal="center" vertical="top" wrapText="1"/>
    </x:xf>
    <x:xf numFmtId="0" fontId="39" fillId="7" borderId="26" xfId="0" applyFont="1" applyFill="1" applyBorder="1" applyAlignment="1">
      <x:alignment horizontal="center" vertical="top" wrapText="1"/>
    </x:xf>
    <x:xf numFmtId="15" fontId="9" fillId="0" borderId="0" xfId="0" applyNumberFormat="1" applyFont="1" applyAlignment="1">
      <x:alignment horizontal="left" vertical="center"/>
    </x:xf>
    <x:xf numFmtId="0" fontId="40" fillId="22" borderId="26" xfId="0" applyFont="1" applyFill="1" applyBorder="1" applyAlignment="1">
      <x:alignment horizontal="center" vertical="top" wrapText="1"/>
    </x:xf>
    <x:xf numFmtId="0" fontId="9" fillId="0" borderId="9" xfId="0" applyFont="1" applyBorder="1"/>
    <x:xf numFmtId="0" fontId="9" fillId="0" borderId="33" xfId="0" applyFont="1" applyBorder="1"/>
    <x:xf numFmtId="0" fontId="9" fillId="0" borderId="33" xfId="0" applyFont="1" applyBorder="1" applyAlignment="1">
      <x:alignment horizontal="center" vertical="top" wrapText="1"/>
    </x:xf>
    <x:xf numFmtId="0" fontId="9" fillId="0" borderId="33" xfId="0" applyFont="1" applyBorder="1" applyAlignment="1">
      <x:alignment horizontal="center"/>
    </x:xf>
    <x:xf numFmtId="0" fontId="9" fillId="11" borderId="75" xfId="0" applyFont="1" applyFill="1" applyBorder="1" applyAlignment="1">
      <x:alignment vertical="top" wrapText="1"/>
    </x:xf>
    <x:xf numFmtId="0" fontId="35" fillId="11" borderId="75" xfId="0" applyFont="1" applyFill="1" applyBorder="1" applyAlignment="1">
      <x:alignment vertical="top" wrapText="1"/>
    </x:xf>
    <x:xf numFmtId="0" fontId="9" fillId="3" borderId="26" xfId="0" applyFont="1" applyFill="1" applyBorder="1" applyAlignment="1">
      <x:alignment horizontal="center" vertical="top" wrapText="1"/>
    </x:xf>
    <x:xf numFmtId="0" fontId="37" fillId="11" borderId="76" xfId="0" applyFont="1" applyFill="1" applyBorder="1" applyAlignment="1">
      <x:alignment horizontal="center" vertical="top" wrapText="1"/>
    </x:xf>
    <x:xf numFmtId="0" fontId="35" fillId="11" borderId="17" xfId="0" applyFont="1" applyFill="1" applyBorder="1" applyAlignment="1">
      <x:alignment horizontal="center" vertical="center"/>
    </x:xf>
    <x:xf numFmtId="0" fontId="41" fillId="3" borderId="17" xfId="0" applyFont="1" applyFill="1" applyBorder="1" applyAlignment="1">
      <x:alignment horizontal="left" vertical="top" wrapText="1"/>
    </x:xf>
    <x:xf numFmtId="0" fontId="37" fillId="3" borderId="77" xfId="0" applyFont="1" applyFill="1" applyBorder="1" applyAlignment="1">
      <x:alignment horizontal="center" vertical="top" wrapText="1"/>
    </x:xf>
    <x:xf numFmtId="0" fontId="35" fillId="11" borderId="75" xfId="0" applyFont="1" applyFill="1" applyBorder="1" applyAlignment="1">
      <x:alignment horizontal="center" vertical="center"/>
    </x:xf>
    <x:xf numFmtId="15" fontId="9" fillId="11" borderId="75" xfId="0" applyNumberFormat="1" applyFont="1" applyFill="1" applyBorder="1" applyAlignment="1">
      <x:alignment horizontal="center" vertical="top" wrapText="1"/>
    </x:xf>
    <x:xf numFmtId="0" fontId="37" fillId="11" borderId="75" xfId="0" applyFont="1" applyFill="1" applyBorder="1" applyAlignment="1">
      <x:alignment horizontal="left" vertical="top" wrapText="1"/>
    </x:xf>
    <x:xf numFmtId="0" fontId="37" fillId="11" borderId="17" xfId="0" applyFont="1" applyFill="1" applyBorder="1" applyAlignment="1">
      <x:alignment vertical="top" wrapText="1"/>
    </x:xf>
    <x:xf numFmtId="0" fontId="42" fillId="14" borderId="78" xfId="0" applyFont="1" applyFill="1" applyBorder="1" applyAlignment="1">
      <x:alignment horizontal="center" vertical="top" wrapText="1"/>
    </x:xf>
    <x:xf numFmtId="0" fontId="42" fillId="14" borderId="26" xfId="0" applyFont="1" applyFill="1" applyBorder="1" applyAlignment="1">
      <x:alignment horizontal="center" vertical="top" wrapText="1"/>
    </x:xf>
    <x:xf numFmtId="164" fontId="42" fillId="14" borderId="78" xfId="0" applyNumberFormat="1" applyFont="1" applyFill="1" applyBorder="1" applyAlignment="1">
      <x:alignment horizontal="center" vertical="top" wrapText="1"/>
    </x:xf>
    <x:xf numFmtId="164" fontId="42" fillId="14" borderId="26" xfId="0" applyNumberFormat="1" applyFont="1" applyFill="1" applyBorder="1" applyAlignment="1">
      <x:alignment horizontal="center" vertical="top" wrapText="1"/>
    </x:xf>
    <x:xf numFmtId="0" fontId="42" fillId="14" borderId="79" xfId="0" applyFont="1" applyFill="1" applyBorder="1" applyAlignment="1">
      <x:alignment horizontal="center" vertical="top" wrapText="1"/>
    </x:xf>
    <x:xf numFmtId="0" fontId="9" fillId="0" borderId="26" xfId="0" applyFont="1" applyBorder="1" applyAlignment="1">
      <x:alignment horizontal="center" vertical="top" wrapText="1"/>
    </x:xf>
    <x:xf numFmtId="0" fontId="9" fillId="0" borderId="26" xfId="0" applyFont="1" applyBorder="1" applyAlignment="1">
      <x:alignment horizontal="left" vertical="top" wrapText="1"/>
    </x:xf>
    <x:xf numFmtId="0" fontId="9" fillId="21" borderId="26" xfId="0" applyFont="1" applyFill="1" applyBorder="1" applyAlignment="1">
      <x:alignment horizontal="center" vertical="top" wrapText="1"/>
    </x:xf>
    <x:xf numFmtId="0" fontId="9" fillId="0" borderId="30" xfId="0" applyFont="1" applyBorder="1" applyAlignment="1">
      <x:alignment horizontal="left" vertical="top" wrapText="1"/>
    </x:xf>
    <x:xf numFmtId="0" fontId="9" fillId="0" borderId="25" xfId="0" applyFont="1" applyBorder="1" applyAlignment="1">
      <x:alignment horizontal="left" vertical="top" wrapText="1"/>
    </x:xf>
    <x:xf numFmtId="0" fontId="9" fillId="0" borderId="24" xfId="0" applyFont="1" applyBorder="1" applyAlignment="1">
      <x:alignment vertical="top" wrapText="1"/>
    </x:xf>
    <x:xf numFmtId="0" fontId="9" fillId="0" borderId="25" xfId="0" applyFont="1" applyBorder="1" applyAlignment="1">
      <x:alignment vertical="top" wrapText="1"/>
    </x:xf>
    <x:xf numFmtId="0" fontId="9" fillId="0" borderId="26" xfId="0" applyFont="1" applyBorder="1" applyAlignment="1">
      <x:alignment vertical="top" wrapText="1"/>
    </x:xf>
    <x:xf numFmtId="0" fontId="9" fillId="0" borderId="24" xfId="0" applyFont="1" applyBorder="1" applyAlignment="1">
      <x:alignment horizontal="left" vertical="top" wrapText="1"/>
    </x:xf>
    <x:xf numFmtId="14" fontId="9" fillId="0" borderId="26" xfId="0" applyNumberFormat="1" applyFont="1" applyBorder="1" applyAlignment="1">
      <x:alignment horizontal="center" vertical="top" wrapText="1"/>
    </x:xf>
    <x:xf numFmtId="15" fontId="9" fillId="0" borderId="25" xfId="0" applyNumberFormat="1" applyFont="1" applyBorder="1" applyAlignment="1">
      <x:alignment horizontal="center" vertical="top" wrapText="1"/>
    </x:xf>
    <x:xf numFmtId="164" fontId="9" fillId="0" borderId="26" xfId="0" applyNumberFormat="1" applyFont="1" applyBorder="1" applyAlignment="1">
      <x:alignment horizontal="left" vertical="top" wrapText="1"/>
    </x:xf>
    <x:xf numFmtId="0" fontId="9" fillId="0" borderId="0" xfId="0" applyFont="1" applyAlignment="1">
      <x:alignment vertical="top" wrapText="1"/>
    </x:xf>
    <x:xf numFmtId="0" fontId="9" fillId="0" borderId="0" xfId="0" applyFont="1" applyAlignment="1">
      <x:alignment wrapText="1"/>
    </x:xf>
    <x:xf numFmtId="0" fontId="45" fillId="24" borderId="11" xfId="0" applyFont="1" applyFill="1" applyBorder="1" applyAlignment="1">
      <x:alignment wrapText="1"/>
    </x:xf>
    <x:xf numFmtId="0" fontId="45" fillId="24" borderId="12" xfId="0" applyFont="1" applyFill="1" applyBorder="1" applyAlignment="1">
      <x:alignment wrapText="1"/>
    </x:xf>
    <x:xf numFmtId="0" fontId="45" fillId="24" borderId="13" xfId="0" applyFont="1" applyFill="1" applyBorder="1" applyAlignment="1">
      <x:alignment wrapText="1"/>
    </x:xf>
    <x:xf numFmtId="0" fontId="45" fillId="24" borderId="14" xfId="0" applyFont="1" applyFill="1" applyBorder="1" applyAlignment="1">
      <x:alignment wrapText="1"/>
    </x:xf>
    <x:xf numFmtId="0" fontId="0" fillId="0" borderId="15" xfId="0" applyBorder="1" applyAlignment="1">
      <x:alignment vertical="center" wrapText="1"/>
    </x:xf>
    <x:xf numFmtId="0" fontId="0" fillId="0" borderId="16" xfId="0" applyBorder="1" applyAlignment="1">
      <x:alignment vertical="center" wrapText="1"/>
    </x:xf>
    <x:xf numFmtId="0" fontId="44" fillId="23" borderId="0" xfId="0" applyFont="1" applyFill="1" applyAlignment="1">
      <x:alignment vertical="center" wrapText="1"/>
    </x:xf>
    <x:xf numFmtId="0" fontId="46" fillId="25" borderId="0" xfId="0" applyFont="1" applyFill="1" applyAlignment="1">
      <x:alignment horizontal="center" vertical="center" wrapText="1"/>
    </x:xf>
    <x:xf numFmtId="0" fontId="46" fillId="25" borderId="17" xfId="0" applyFont="1" applyFill="1" applyBorder="1" applyAlignment="1">
      <x:alignment horizontal="center" vertical="center" wrapText="1"/>
    </x:xf>
    <x:xf numFmtId="0" fontId="44" fillId="23" borderId="17" xfId="0" applyFont="1" applyFill="1" applyBorder="1" applyAlignment="1">
      <x:alignment vertical="center" wrapText="1"/>
    </x:xf>
    <x:xf numFmtId="0" fontId="44" fillId="23" borderId="18" xfId="0" applyFont="1" applyFill="1" applyBorder="1" applyAlignment="1">
      <x:alignment vertical="center" wrapText="1"/>
    </x:xf>
    <x:xf numFmtId="0" fontId="44" fillId="23" borderId="0" xfId="0" applyFont="1" applyFill="1" applyAlignment="1">
      <x:alignment wrapText="1"/>
    </x:xf>
    <x:xf numFmtId="0" fontId="44" fillId="23" borderId="10" xfId="0" applyFont="1" applyFill="1" applyBorder="1" applyAlignment="1">
      <x:alignment wrapText="1"/>
    </x:xf>
    <x:xf numFmtId="0" fontId="45" fillId="24" borderId="19" xfId="0" applyFont="1" applyFill="1" applyBorder="1" applyAlignment="1">
      <x:alignment vertical="center" wrapText="1"/>
    </x:xf>
    <x:xf numFmtId="0" fontId="45" fillId="24" borderId="18" xfId="0" applyFont="1" applyFill="1" applyBorder="1" applyAlignment="1">
      <x:alignment vertical="center" wrapText="1"/>
    </x:xf>
    <x:xf numFmtId="0" fontId="45" fillId="24" borderId="17" xfId="0" applyFont="1" applyFill="1" applyBorder="1" applyAlignment="1">
      <x:alignment vertical="center" wrapText="1"/>
    </x:xf>
    <x:xf numFmtId="0" fontId="45" fillId="24" borderId="17" xfId="0" applyFont="1" applyFill="1" applyBorder="1" applyAlignment="1">
      <x:alignment wrapText="1"/>
    </x:xf>
    <x:xf numFmtId="0" fontId="45" fillId="24" borderId="20" xfId="0" applyFont="1" applyFill="1" applyBorder="1" applyAlignment="1">
      <x:alignment wrapText="1"/>
    </x:xf>
    <x:xf numFmtId="0" fontId="0" fillId="0" borderId="15" xfId="0" applyBorder="1" applyAlignment="1">
      <x:alignment horizontal="left" vertical="center" wrapText="1"/>
    </x:xf>
    <x:xf numFmtId="0" fontId="0" fillId="0" borderId="16" xfId="0" applyBorder="1" applyAlignment="1">
      <x:alignment horizontal="left" vertical="center" wrapText="1"/>
    </x:xf>
    <x:xf numFmtId="0" fontId="44" fillId="23" borderId="21" xfId="0" applyFont="1" applyFill="1" applyBorder="1" applyAlignment="1">
      <x:alignment vertical="center" wrapText="1"/>
    </x:xf>
    <x:xf numFmtId="0" fontId="45" fillId="24" borderId="15" xfId="0" applyFont="1" applyFill="1" applyBorder="1" applyAlignment="1">
      <x:alignment horizontal="left" vertical="center" wrapText="1"/>
    </x:xf>
    <x:xf numFmtId="0" fontId="45" fillId="24" borderId="16" xfId="0" applyFont="1" applyFill="1" applyBorder="1" applyAlignment="1">
      <x:alignment horizontal="left" vertical="center" wrapText="1"/>
    </x:xf>
    <x:xf numFmtId="0" fontId="45" fillId="24" borderId="0" xfId="0" applyFont="1" applyFill="1" applyAlignment="1">
      <x:alignment vertical="center" wrapText="1"/>
    </x:xf>
    <x:xf numFmtId="0" fontId="45" fillId="24" borderId="22" xfId="0" applyFont="1" applyFill="1" applyBorder="1" applyAlignment="1">
      <x:alignment vertical="center" wrapText="1"/>
    </x:xf>
    <x:xf numFmtId="0" fontId="45" fillId="24" borderId="0" xfId="0" applyFont="1" applyFill="1" applyAlignment="1">
      <x:alignment wrapText="1"/>
    </x:xf>
    <x:xf numFmtId="0" fontId="45" fillId="24" borderId="10" xfId="0" applyFont="1" applyFill="1" applyBorder="1" applyAlignment="1">
      <x:alignment wrapText="1"/>
    </x:xf>
    <x:xf numFmtId="0" fontId="45" fillId="24" borderId="21" xfId="0" applyFont="1" applyFill="1" applyBorder="1" applyAlignment="1">
      <x:alignment vertical="center" wrapText="1"/>
    </x:xf>
    <x:xf numFmtId="0" fontId="45" fillId="24" borderId="16" xfId="0" applyFont="1" applyFill="1" applyBorder="1" applyAlignment="1">
      <x:alignment vertical="center" wrapText="1"/>
    </x:xf>
    <x:xf numFmtId="166" fontId="7" fillId="0" borderId="26" xfId="0" applyNumberFormat="1" applyFont="1" applyBorder="1" applyAlignment="1">
      <x:alignment horizontal="left" vertical="center" wrapText="1"/>
    </x:xf>
    <x:xf numFmtId="3" fontId="21" fillId="0" borderId="43" xfId="0" applyNumberFormat="1" applyFont="1" applyBorder="1" applyAlignment="1">
      <x:alignment horizontal="right" vertical="center" wrapText="1"/>
    </x:xf>
    <x:xf numFmtId="3" fontId="21" fillId="0" borderId="44" xfId="0" applyNumberFormat="1" applyFont="1" applyBorder="1" applyAlignment="1">
      <x:alignment horizontal="right" vertical="center" wrapText="1"/>
    </x:xf>
    <x:xf numFmtId="3" fontId="21" fillId="11" borderId="43" xfId="0" applyNumberFormat="1" applyFont="1" applyFill="1" applyBorder="1" applyAlignment="1">
      <x:alignment horizontal="right" vertical="center" wrapText="1"/>
    </x:xf>
    <x:xf numFmtId="3" fontId="21" fillId="0" borderId="45" xfId="0" applyNumberFormat="1" applyFont="1" applyBorder="1" applyAlignment="1">
      <x:alignment horizontal="right" vertical="center" wrapText="1"/>
    </x:xf>
    <x:xf numFmtId="3" fontId="20" fillId="10" borderId="46" xfId="0" applyNumberFormat="1" applyFont="1" applyFill="1" applyBorder="1" applyAlignment="1">
      <x:alignment vertical="center" wrapText="1"/>
    </x:xf>
    <x:xf numFmtId="3" fontId="21" fillId="3" borderId="43" xfId="0" applyNumberFormat="1" applyFont="1" applyFill="1" applyBorder="1" applyAlignment="1">
      <x:alignment vertical="center" wrapText="1"/>
    </x:xf>
    <x:xf numFmtId="3" fontId="21" fillId="3" borderId="43" xfId="0" applyNumberFormat="1" applyFont="1" applyFill="1" applyBorder="1" applyAlignment="1">
      <x:alignment horizontal="right" vertical="center" wrapText="1"/>
    </x:xf>
    <x:xf numFmtId="3" fontId="21" fillId="3" borderId="44" xfId="0" applyNumberFormat="1" applyFont="1" applyFill="1" applyBorder="1" applyAlignment="1">
      <x:alignment horizontal="right" vertical="center" wrapText="1"/>
    </x:xf>
    <x:xf numFmtId="3" fontId="21" fillId="3" borderId="46" xfId="0" applyNumberFormat="1" applyFont="1" applyFill="1" applyBorder="1" applyAlignment="1">
      <x:alignment vertical="center" wrapText="1"/>
    </x:xf>
    <x:xf numFmtId="3" fontId="21" fillId="3" borderId="52" xfId="0" applyNumberFormat="1" applyFont="1" applyFill="1" applyBorder="1" applyAlignment="1">
      <x:alignment vertical="center" wrapText="1"/>
    </x:xf>
    <x:xf numFmtId="3" fontId="21" fillId="3" borderId="53" xfId="0" applyNumberFormat="1" applyFont="1" applyFill="1" applyBorder="1" applyAlignment="1">
      <x:alignment vertical="center" wrapText="1"/>
    </x:xf>
    <x:xf numFmtId="3" fontId="20" fillId="13" borderId="55" xfId="0" applyNumberFormat="1" applyFont="1" applyFill="1" applyBorder="1" applyAlignment="1">
      <x:alignment horizontal="right" vertical="center" wrapText="1"/>
    </x:xf>
    <x:xf numFmtId="3" fontId="20" fillId="13" borderId="56" xfId="0" applyNumberFormat="1" applyFont="1" applyFill="1" applyBorder="1" applyAlignment="1">
      <x:alignment horizontal="right" vertical="center" wrapText="1"/>
    </x:xf>
    <x:xf numFmtId="166" fontId="24" fillId="0" borderId="65" xfId="0" applyNumberFormat="1" applyFont="1" applyBorder="1" applyAlignment="1">
      <x:alignment horizontal="center" vertical="center"/>
    </x:xf>
    <x:xf numFmtId="166" fontId="29" fillId="16" borderId="65" xfId="0" applyNumberFormat="1" applyFont="1" applyFill="1" applyBorder="1" applyAlignment="1">
      <x:alignment horizontal="center" vertical="center"/>
    </x:xf>
    <x:xf numFmtId="166" fontId="24" fillId="17" borderId="65" xfId="0" applyNumberFormat="1" applyFont="1" applyFill="1" applyBorder="1" applyAlignment="1">
      <x:alignment horizontal="center" vertical="center"/>
    </x:xf>
    <x:xf numFmtId="166" fontId="29" fillId="17" borderId="65" xfId="0" applyNumberFormat="1" applyFont="1" applyFill="1" applyBorder="1" applyAlignment="1">
      <x:alignment horizontal="center" vertical="center"/>
    </x:xf>
    <x:xf numFmtId="166" fontId="31" fillId="17" borderId="65" xfId="0" applyNumberFormat="1" applyFont="1" applyFill="1" applyBorder="1" applyAlignment="1">
      <x:alignment horizontal="center" vertical="center"/>
    </x:xf>
    <x:xf numFmtId="166" fontId="24" fillId="16" borderId="65" xfId="0" applyNumberFormat="1" applyFont="1" applyFill="1" applyBorder="1" applyAlignment="1">
      <x:alignment horizontal="center" vertical="center"/>
    </x:xf>
    <x:xf numFmtId="0" fontId="24" fillId="0" borderId="65" xfId="0" applyFont="1" applyBorder="1" applyAlignment="1">
      <x:alignment horizontal="left" vertical="center" wrapText="1"/>
    </x:xf>
    <x:xf numFmtId="0" fontId="24" fillId="17" borderId="65" xfId="0" applyFont="1" applyFill="1" applyBorder="1" applyAlignment="1">
      <x:alignment horizontal="left" vertical="center" wrapText="1"/>
    </x:xf>
    <x:xf numFmtId="0" fontId="29" fillId="17" borderId="70" xfId="0" applyFont="1" applyFill="1" applyBorder="1" applyAlignment="1">
      <x:alignment horizontal="left" vertical="center" wrapText="1"/>
    </x:xf>
    <x:xf numFmtId="0" fontId="24" fillId="17" borderId="70" xfId="0" applyFont="1" applyFill="1" applyBorder="1" applyAlignment="1">
      <x:alignment horizontal="left" vertical="center" wrapText="1"/>
    </x:xf>
    <x:xf numFmtId="0" fontId="31" fillId="17" borderId="65" xfId="0" applyFont="1" applyFill="1" applyBorder="1" applyAlignment="1">
      <x:alignment horizontal="left" vertical="center" wrapText="1"/>
    </x:xf>
    <x:xf numFmtId="0" fontId="32" fillId="18" borderId="71" xfId="0" applyFont="1" applyFill="1" applyBorder="1" applyAlignment="1">
      <x:alignment horizontal="left" vertical="center" wrapText="1"/>
    </x:xf>
    <x:xf numFmtId="0" fontId="43" fillId="0" borderId="26" xfId="0" applyFont="1" applyBorder="1" applyAlignment="1">
      <x:alignment horizontal="center" vertical="top" wrapText="1"/>
    </x:xf>
    <x:xf numFmtId="166" fontId="9" fillId="0" borderId="26" xfId="0" applyNumberFormat="1" applyFont="1" applyBorder="1" applyAlignment="1">
      <x:alignment horizontal="center" vertical="top" wrapText="1"/>
    </x:xf>
    <x:xf numFmtId="166" fontId="9" fillId="0" borderId="30" xfId="0" applyNumberFormat="1" applyFont="1" applyBorder="1" applyAlignment="1">
      <x:alignment horizontal="center" vertical="top" wrapText="1"/>
    </x:xf>
    <x:xf numFmtId="0" fontId="9" fillId="0" borderId="26" xfId="0" applyFont="1" applyBorder="1" applyAlignment="1">
      <x:alignment horizontal="center" wrapText="1"/>
    </x:xf>
    <x:xf numFmtId="15" fontId="9" fillId="0" borderId="26" xfId="0" applyNumberFormat="1" applyFont="1" applyBorder="1" applyAlignment="1">
      <x:alignment horizontal="center" vertical="top" wrapText="1"/>
    </x:xf>
    <x:xf numFmtId="164" fontId="9" fillId="0" borderId="26" xfId="0" applyNumberFormat="1" applyFont="1" applyBorder="1" applyAlignment="1">
      <x:alignment horizontal="center" vertical="top" wrapText="1"/>
    </x:xf>
    <x:xf numFmtId="0" fontId="9" fillId="0" borderId="0" xfId="0" applyFont="1" applyAlignment="1">
      <x:alignment horizontal="center" wrapText="1"/>
    </x:xf>
    <x:xf numFmtId="0" fontId="9" fillId="0" borderId="0" xfId="0" applyFont="1" applyAlignment="1">
      <x:alignment horizontal="left" wrapText="1"/>
    </x:xf>
    <x:xf numFmtId="0" fontId="11" fillId="23" borderId="80" xfId="0" applyFont="1" applyFill="1" applyBorder="1"/>
    <x:xf numFmtId="0" fontId="17" fillId="23" borderId="80" xfId="0" applyFont="1" applyFill="1" applyBorder="1" applyAlignment="1">
      <x:alignment vertical="center"/>
    </x:xf>
    <x:xf numFmtId="166" fontId="11" fillId="5" borderId="26" xfId="0" applyNumberFormat="1" applyFont="1" applyFill="1" applyBorder="1" applyAlignment="1">
      <x:alignment horizontal="center" vertical="center"/>
    </x:xf>
    <x:xf numFmtId="0" fontId="11" fillId="5" borderId="34" xfId="0" applyFont="1" applyFill="1" applyBorder="1" applyAlignment="1">
      <x:alignment vertical="center" wrapText="1"/>
    </x:xf>
    <x:xf numFmtId="0" fontId="2" fillId="0" borderId="1" xfId="0" applyFont="1" applyBorder="1" applyAlignment="1">
      <x:alignment horizontal="left" vertical="center"/>
    </x:xf>
    <x:xf numFmtId="0" fontId="3" fillId="0" borderId="2" xfId="0" applyFont="1" applyBorder="1"/>
    <x:xf numFmtId="0" fontId="3" fillId="0" borderId="7" xfId="0" applyFont="1" applyBorder="1"/>
    <x:xf numFmtId="0" fontId="3" fillId="0" borderId="8" xfId="0" applyFont="1" applyBorder="1"/>
    <x:xf numFmtId="0" fontId="4" fillId="0" borderId="3" xfId="0" applyFont="1" applyBorder="1" applyAlignment="1">
      <x:alignment horizontal="center"/>
    </x:xf>
    <x:xf numFmtId="0" fontId="3" fillId="0" borderId="4" xfId="0" applyFont="1" applyBorder="1"/>
    <x:xf numFmtId="0" fontId="3" fillId="0" borderId="5" xfId="0" applyFont="1" applyBorder="1"/>
    <x:xf numFmtId="0" fontId="3" fillId="0" borderId="6" xfId="0" applyFont="1" applyBorder="1"/>
    <x:xf numFmtId="0" fontId="6" fillId="4" borderId="23" xfId="0" applyFont="1" applyFill="1" applyBorder="1" applyAlignment="1">
      <x:alignment horizontal="center" vertical="center"/>
    </x:xf>
    <x:xf numFmtId="0" fontId="3" fillId="0" borderId="24" xfId="0" applyFont="1" applyBorder="1"/>
    <x:xf numFmtId="0" fontId="3" fillId="0" borderId="25" xfId="0" applyFont="1" applyBorder="1"/>
    <x:xf numFmtId="0" fontId="6" fillId="0" borderId="23" xfId="0" applyFont="1" applyBorder="1" applyAlignment="1">
      <x:alignment horizontal="left" vertical="center" wrapText="1"/>
    </x:xf>
    <x:xf numFmtId="0" fontId="7" fillId="0" borderId="23" xfId="0" applyFont="1" applyBorder="1" applyAlignment="1">
      <x:alignment horizontal="left" vertical="center" wrapText="1"/>
    </x:xf>
    <x:xf numFmtId="0" fontId="6" fillId="4" borderId="27" xfId="0" applyFont="1" applyFill="1" applyBorder="1" applyAlignment="1">
      <x:alignment horizontal="left" vertical="center" wrapText="1"/>
    </x:xf>
    <x:xf numFmtId="0" fontId="3" fillId="0" borderId="32" xfId="0" applyFont="1" applyBorder="1"/>
    <x:xf numFmtId="0" fontId="3" fillId="0" borderId="30" xfId="0" applyFont="1" applyBorder="1"/>
    <x:xf numFmtId="0" fontId="7" fillId="0" borderId="28" xfId="0" applyFont="1" applyBorder="1" applyAlignment="1">
      <x:alignment horizontal="left" vertical="center" wrapText="1"/>
    </x:xf>
    <x:xf numFmtId="0" fontId="3" fillId="0" borderId="31" xfId="0" applyFont="1" applyBorder="1"/>
    <x:xf numFmtId="0" fontId="3" fillId="0" borderId="29" xfId="0" applyFont="1" applyBorder="1"/>
    <x:xf numFmtId="0" fontId="3" fillId="0" borderId="21" xfId="0" applyFont="1" applyBorder="1"/>
    <x:xf numFmtId="0" fontId="0" fillId="0" borderId="0" xfId="0"/>
    <x:xf numFmtId="0" fontId="3" fillId="0" borderId="16" xfId="0" applyFont="1" applyBorder="1"/>
    <x:xf numFmtId="0" fontId="3" fillId="0" borderId="9" xfId="0" applyFont="1" applyBorder="1"/>
    <x:xf numFmtId="0" fontId="3" fillId="0" borderId="33" xfId="0" applyFont="1" applyBorder="1"/>
    <x:xf numFmtId="166" fontId="7" fillId="0" borderId="23" xfId="0" applyNumberFormat="1" applyFont="1" applyBorder="1" applyAlignment="1">
      <x:alignment horizontal="left" vertical="center" wrapText="1"/>
    </x:xf>
    <x:xf numFmtId="0" fontId="7" fillId="0" borderId="23" xfId="0" applyFont="1" applyBorder="1" applyAlignment="1">
      <x:alignment vertical="top" wrapText="1"/>
    </x:xf>
    <x:xf numFmtId="3" fontId="7" fillId="0" borderId="28" xfId="0" applyNumberFormat="1" applyFont="1" applyBorder="1" applyAlignment="1">
      <x:alignment horizontal="left" vertical="center" wrapText="1"/>
    </x:xf>
    <x:xf numFmtId="0" fontId="3" fillId="0" borderId="9" xfId="0" applyFont="1" applyBorder="1" applyAlignment="1">
      <x:alignment wrapText="1"/>
    </x:xf>
    <x:xf numFmtId="0" fontId="7" fillId="0" borderId="27" xfId="0" applyFont="1" applyBorder="1" applyAlignment="1">
      <x:alignment horizontal="left" vertical="center" wrapText="1"/>
    </x:xf>
    <x:xf numFmtId="0" fontId="14" fillId="6" borderId="23" xfId="0" applyFont="1" applyFill="1" applyBorder="1" applyAlignment="1">
      <x:alignment horizontal="center" vertical="center" wrapText="1"/>
    </x:xf>
    <x:xf numFmtId="164" fontId="14" fillId="7" borderId="27" xfId="0" applyNumberFormat="1" applyFont="1" applyFill="1" applyBorder="1" applyAlignment="1">
      <x:alignment horizontal="center" vertical="center" wrapText="1"/>
    </x:xf>
    <x:xf numFmtId="0" fontId="15" fillId="0" borderId="23" xfId="0" applyFont="1" applyBorder="1" applyAlignment="1">
      <x:alignment horizontal="center" vertical="center"/>
    </x:xf>
    <x:xf numFmtId="0" fontId="14" fillId="8" borderId="23" xfId="0" applyFont="1" applyFill="1" applyBorder="1" applyAlignment="1">
      <x:alignment vertical="center" wrapText="1"/>
    </x:xf>
    <x:xf numFmtId="0" fontId="3" fillId="0" borderId="24" xfId="0" applyFont="1" applyBorder="1" applyAlignment="1">
      <x:alignment wrapText="1"/>
    </x:xf>
    <x:xf numFmtId="166" fontId="3" fillId="0" borderId="24" xfId="0" applyNumberFormat="1" applyFont="1" applyBorder="1"/>
    <x:xf numFmtId="0" fontId="47" fillId="23" borderId="80" xfId="0" applyFont="1" applyFill="1" applyBorder="1"/>
    <x:xf numFmtId="0" fontId="12" fillId="0" borderId="0" xfId="0" applyFont="1" applyAlignment="1">
      <x:alignment horizontal="center"/>
    </x:xf>
    <x:xf numFmtId="0" fontId="13" fillId="6" borderId="28" xfId="0" applyFont="1" applyFill="1" applyBorder="1" applyAlignment="1">
      <x:alignment horizontal="center" vertical="center" wrapText="1"/>
    </x:xf>
    <x:xf numFmtId="0" fontId="14" fillId="0" borderId="28" xfId="0" applyFont="1" applyBorder="1" applyAlignment="1">
      <x:alignment horizontal="center" vertical="center"/>
    </x:xf>
    <x:xf numFmtId="0" fontId="14" fillId="6" borderId="27" xfId="0" applyFont="1" applyFill="1" applyBorder="1" applyAlignment="1">
      <x:alignment horizontal="center" vertical="center" wrapText="1"/>
    </x:xf>
    <x:xf numFmtId="0" fontId="18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0" fontId="20" fillId="10" borderId="39" xfId="0" applyFont="1" applyFill="1" applyBorder="1" applyAlignment="1">
      <x:alignment horizontal="left" vertical="center" wrapText="1"/>
    </x:xf>
    <x:xf numFmtId="0" fontId="3" fillId="0" borderId="40" xfId="0" applyFont="1" applyBorder="1" applyAlignment="1">
      <x:alignment wrapText="1"/>
    </x:xf>
    <x:xf numFmtId="0" fontId="20" fillId="12" borderId="39" xfId="0" applyFont="1" applyFill="1" applyBorder="1" applyAlignment="1">
      <x:alignment vertical="center" wrapText="1"/>
    </x:xf>
    <x:xf numFmtId="0" fontId="3" fillId="0" borderId="47" xfId="0" applyFont="1" applyBorder="1" applyAlignment="1">
      <x:alignment wrapText="1"/>
    </x:xf>
    <x:xf numFmtId="3" fontId="3" fillId="0" borderId="47" xfId="0" applyNumberFormat="1" applyFont="1" applyBorder="1"/>
    <x:xf numFmtId="0" fontId="3" fillId="0" borderId="48" xfId="0" applyFont="1" applyBorder="1"/>
    <x:xf numFmtId="0" fontId="20" fillId="12" borderId="49" xfId="0" applyFont="1" applyFill="1" applyBorder="1" applyAlignment="1">
      <x:alignment horizontal="left" vertical="center" wrapText="1"/>
    </x:xf>
    <x:xf numFmtId="0" fontId="3" fillId="0" borderId="40" xfId="0" applyFont="1" applyBorder="1"/>
    <x:xf numFmtId="166" fontId="24" fillId="0" borderId="57" xfId="0" applyNumberFormat="1" applyFont="1" applyBorder="1" applyAlignment="1">
      <x:alignment horizontal="center" vertical="center"/>
    </x:xf>
    <x:xf numFmtId="0" fontId="3" fillId="0" borderId="58" xfId="0" applyFont="1" applyBorder="1"/>
    <x:xf numFmtId="0" fontId="24" fillId="0" borderId="0" xfId="0" applyFont="1"/>
    <x:xf numFmtId="0" fontId="29" fillId="16" borderId="67" xfId="0" applyFont="1" applyFill="1" applyBorder="1" applyAlignment="1">
      <x:alignment vertical="center" wrapText="1"/>
    </x:xf>
    <x:xf numFmtId="0" fontId="3" fillId="0" borderId="68" xfId="0" applyFont="1" applyBorder="1" applyAlignment="1">
      <x:alignment wrapText="1"/>
    </x:xf>
    <x:xf numFmtId="0" fontId="6" fillId="0" borderId="0" xfId="0" applyFont="1" applyAlignment="1">
      <x:alignment horizontal="center" vertical="center"/>
    </x:xf>
    <x:xf numFmtId="0" fontId="6" fillId="17" borderId="23" xfId="0" applyFont="1" applyFill="1" applyBorder="1" applyAlignment="1">
      <x:alignment vertical="top" wrapText="1"/>
    </x:xf>
    <x:xf numFmtId="0" fontId="3" fillId="0" borderId="25" xfId="0" applyFont="1" applyBorder="1" applyAlignment="1">
      <x:alignment wrapText="1"/>
    </x:xf>
    <x:xf numFmtId="0" fontId="2" fillId="3" borderId="72" xfId="0" applyFont="1" applyFill="1" applyBorder="1" applyAlignment="1">
      <x:alignment horizontal="left" wrapText="1"/>
    </x:xf>
    <x:xf numFmtId="0" fontId="3" fillId="0" borderId="73" xfId="0" applyFont="1" applyBorder="1"/>
    <x:xf numFmtId="0" fontId="3" fillId="0" borderId="74" xfId="0" applyFont="1" applyBorder="1"/>
    <x:xf numFmtId="14" fontId="35" fillId="3" borderId="23" xfId="0" applyNumberFormat="1" applyFont="1" applyFill="1" applyBorder="1" applyAlignment="1">
      <x:alignment horizontal="center" vertical="top" wrapText="1"/>
    </x:xf>
    <x:xf numFmtId="0" fontId="44" fillId="26" borderId="0" xfId="0" applyNumberFormat="1" applyFont="1" applyFill="1" applyBorder="1" applyAlignment="1">
      <x:alignment vertical="center" wrapText="1"/>
    </x:xf>
    <x:xf numFmtId="0" fontId="46" fillId="26" borderId="0" xfId="0" applyNumberFormat="1" applyFont="1" applyFill="1" applyBorder="1" applyAlignment="1">
      <x:alignment horizontal="center" vertical="center" wrapText="1"/>
    </x:xf>
    <x:xf numFmtId="0" fontId="44" fillId="26" borderId="16" xfId="0" applyNumberFormat="1" applyFont="1" applyFill="1" applyBorder="1" applyAlignment="1">
      <x:alignment vertical="center" wrapText="1"/>
    </x:xf>
    <x:xf numFmtId="0" fontId="46" fillId="27" borderId="0" xfId="0" applyNumberFormat="1" applyFont="1" applyFill="1" applyBorder="1" applyAlignment="1">
      <x:alignment horizontal="center" vertical="center" wrapText="1"/>
    </x:xf>
    <x:xf numFmtId="0" fontId="44" fillId="27" borderId="0" xfId="0" applyNumberFormat="1" applyFont="1" applyFill="1" applyBorder="1" applyAlignment="1">
      <x:alignment vertical="center" wrapText="1"/>
    </x:xf>
    <x:xf numFmtId="0" fontId="46" fillId="2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6">
    <x:dxf>
      <x:fill>
        <x:patternFill>
          <x:bgColor rgb="FFA5A5A5"/>
        </x:patternFill>
      </x:fill>
    </x:dxf>
    <x:dxf>
      <x:fill>
        <x:patternFill>
          <x:bgColor rgb="FF00B050"/>
        </x:patternFill>
      </x:fill>
    </x:dxf>
    <x:dxf>
      <x:font>
        <x:color theme="0"/>
      </x:font>
      <x:fill>
        <x:patternFill>
          <x:bgColor rgb="FF0070C0"/>
        </x:patternFill>
      </x:fill>
    </x:dxf>
    <x:dxf>
      <x:fill>
        <x:patternFill>
          <x:bgColor rgb="FFFFC0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7030A0"/>
        </x:patternFill>
      </x:fill>
    </x:dxf>
    <x:dxf>
      <x:fill>
        <x:patternFill>
          <x:bgColor rgb="FFEEECE2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ill>
        <x:patternFill>
          <x:bgColor theme="4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0"/>
        </x:patternFill>
      </x:fill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 patternType="none"/>
      </x:fill>
      <x:border>
        <x:right style="thin">
          <x:color rgb="FFD8D8D8"/>
        </x:right>
      </x:border>
    </x:dxf>
    <x:dxf>
      <x:fill>
        <x:patternFill>
          <x:bgColor rgb="FF7F7F7F"/>
        </x:patternFill>
      </x:fill>
    </x:dxf>
    <x:dxf>
      <x:fill>
        <x:patternFill>
          <x:bgColor rgb="FF3969AD"/>
        </x:patternFill>
      </x:fill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>
          <x:bgColor rgb="FF3969AD"/>
        </x:patternFill>
      </x:fill>
    </x:dxf>
    <x:dxf>
      <x:fill>
        <x:patternFill>
          <x:bgColor rgb="FF7F7F7F"/>
        </x:patternFill>
      </x:fill>
    </x:dxf>
    <x:dxf>
      <x:fill>
        <x:patternFill patternType="none"/>
      </x:fill>
      <x:border>
        <x:right style="thin">
          <x:color rgb="FFD8D8D8"/>
        </x:right>
      </x:border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 patternType="none"/>
      </x:fill>
      <x:border>
        <x:right style="thin">
          <x:color rgb="FFD8D8D8"/>
        </x:right>
      </x:border>
    </x:dxf>
    <x:dxf>
      <x:fill>
        <x:patternFill>
          <x:bgColor rgb="FF3969AD"/>
        </x:patternFill>
      </x:fill>
    </x:dxf>
    <x:dxf>
      <x:fill>
        <x:patternFill>
          <x:bgColor rgb="FF7F7F7F"/>
        </x:patternFill>
      </x:fill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 patternType="none"/>
      </x:fill>
      <x:border>
        <x:right style="thin">
          <x:color rgb="FFD8D8D8"/>
        </x:right>
      </x:border>
    </x:dxf>
    <x:dxf>
      <x:fill>
        <x:patternFill>
          <x:bgColor rgb="FF3969AD"/>
        </x:patternFill>
      </x:fill>
    </x:dxf>
    <x:dxf>
      <x:fill>
        <x:patternFill>
          <x:bgColor rgb="FF7F7F7F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92fea21254a53" /><Relationship Type="http://schemas.openxmlformats.org/officeDocument/2006/relationships/theme" Target="/xl/theme/theme1.xml" Id="R1f164079c0d84700" /><Relationship Type="http://schemas.openxmlformats.org/officeDocument/2006/relationships/sharedStrings" Target="/xl/sharedStrings.xml" Id="Reb29058fca6d4171" /><Relationship Type="http://schemas.openxmlformats.org/officeDocument/2006/relationships/worksheet" Target="/xl/worksheets/sheet1.xml" Id="R04ded5ba3d414077" /><Relationship Type="http://schemas.openxmlformats.org/officeDocument/2006/relationships/worksheet" Target="/xl/worksheets/sheet2.xml" Id="Rc8a84e0c899d446a" /><Relationship Type="http://schemas.openxmlformats.org/officeDocument/2006/relationships/worksheet" Target="/xl/worksheets/sheet3.xml" Id="R714504cc190746ea" /><Relationship Type="http://schemas.openxmlformats.org/officeDocument/2006/relationships/worksheet" Target="/xl/worksheets/sheet4.xml" Id="R479229d94b814838" /><Relationship Type="http://schemas.openxmlformats.org/officeDocument/2006/relationships/worksheet" Target="/xl/worksheets/sheet5.xml" Id="R8c250c70ce53420b" /><Relationship Type="http://schemas.openxmlformats.org/officeDocument/2006/relationships/worksheet" Target="/xl/worksheets/sheet6.xml" Id="R777f271c220441ec" /><Relationship Type="http://schemas.openxmlformats.org/officeDocument/2006/relationships/worksheet" Target="/xl/worksheets/sheet7.xml" Id="Rc8a82f069d324c9a" /><Relationship Type="http://schemas.microsoft.com/office/2017/10/relationships/person" Target="/xl/persons/person.xml" Id="Rcc9bf1ec7b87478a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36</xdr:col>
      <xdr:colOff>114300</xdr:colOff>
      <xdr:row>47</xdr:row>
      <xdr:rowOff>254000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theanh" id="{2391CE4E-0A68-F0BB-5EB1-47E31FEE393A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6c6310d494e487e" /><Relationship Type="http://schemas.openxmlformats.org/officeDocument/2006/relationships/vmlDrawing" Target="/xl/drawings/vmldrawing.vml" Id="R22e8c801a12c4ae8" /><Relationship Type="http://schemas.openxmlformats.org/officeDocument/2006/relationships/drawing" Target="/xl/drawings/drawing1.xml" Id="R29efde3b956849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mailto:trungdt@hnue.edu.vn" TargetMode="External" Id="Re80142b890094b56" /><Relationship Type="http://schemas.openxmlformats.org/officeDocument/2006/relationships/hyperlink" Target="mailto:hangpt@hnue.edu.vn" TargetMode="External" Id="Rc68b336841d14f22" /></Relationships>
</file>

<file path=xl/worksheets/sheet1.xml><?xml version="1.0" encoding="utf-8"?>
<x:worksheet xmlns:x="http://schemas.openxmlformats.org/spreadsheetml/2006/main">
  <x:sheetFormatPr baseColWidth="10" defaultColWidth="12.6640625" defaultRowHeight="14"/>
  <x:cols>
    <x:col min="1" max="1" width="1.83203125" customWidth="1"/>
    <x:col min="2" max="2" width="6.5" customWidth="1"/>
    <x:col min="3" max="3" width="53.83203125" customWidth="1"/>
    <x:col min="4" max="27" width="2.6640625" customWidth="1"/>
  </x:cols>
  <x:sheetData>
    <x:row r="1" ht="18" customHeight="1">
      <x:c r="B1" s="1" t="s">
        <x:v>0</x:v>
      </x:c>
    </x:row>
    <x:row r="2" ht="18" customHeight="1">
      <x:c r="B2" s="234" t="s">
        <x:v>1</x:v>
      </x:c>
      <x:c r="C2" s="235"/>
      <x:c r="D2" s="238">
        <x:v>2026</x:v>
      </x:c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  <x:c r="O2" s="240"/>
      <x:c r="P2" s="238">
        <x:v>2027</x:v>
      </x:c>
      <x:c r="Q2" s="239"/>
      <x:c r="R2" s="239"/>
      <x:c r="S2" s="239"/>
      <x:c r="T2" s="239"/>
      <x:c r="U2" s="239"/>
      <x:c r="V2" s="239"/>
      <x:c r="W2" s="239"/>
      <x:c r="X2" s="239"/>
      <x:c r="Y2" s="239"/>
      <x:c r="Z2" s="239"/>
      <x:c r="AA2" s="241"/>
    </x:row>
    <x:row r="3" ht="18" customHeight="1">
      <x:c r="B3" s="236"/>
      <x:c r="C3" s="237"/>
      <x:c r="D3" s="2">
        <x:v>1</x:v>
      </x:c>
      <x:c r="E3" s="2">
        <x:v>2</x:v>
      </x:c>
      <x:c r="F3" s="2">
        <x:v>3</x:v>
      </x:c>
      <x:c r="G3" s="2">
        <x:v>4</x:v>
      </x:c>
      <x:c r="H3" s="2">
        <x:v>5</x:v>
      </x:c>
      <x:c r="I3" s="2">
        <x:v>6</x:v>
      </x:c>
      <x:c r="J3" s="2">
        <x:v>7</x:v>
      </x:c>
      <x:c r="K3" s="2">
        <x:v>8</x:v>
      </x:c>
      <x:c r="L3" s="2">
        <x:v>9</x:v>
      </x:c>
      <x:c r="M3" s="2">
        <x:v>10</x:v>
      </x:c>
      <x:c r="N3" s="2">
        <x:v>11</x:v>
      </x:c>
      <x:c r="O3" s="2">
        <x:v>12</x:v>
      </x:c>
      <x:c r="P3" s="3">
        <x:v>1</x:v>
      </x:c>
      <x:c r="Q3" s="2">
        <x:v>2</x:v>
      </x:c>
      <x:c r="R3" s="2">
        <x:v>3</x:v>
      </x:c>
      <x:c r="S3" s="2">
        <x:v>4</x:v>
      </x:c>
      <x:c r="T3" s="2">
        <x:v>5</x:v>
      </x:c>
      <x:c r="U3" s="2">
        <x:v>6</x:v>
      </x:c>
      <x:c r="V3" s="2">
        <x:v>7</x:v>
      </x:c>
      <x:c r="W3" s="2">
        <x:v>8</x:v>
      </x:c>
      <x:c r="X3" s="2">
        <x:v>9</x:v>
      </x:c>
      <x:c r="Y3" s="2">
        <x:v>10</x:v>
      </x:c>
      <x:c r="Z3" s="2">
        <x:v>11</x:v>
      </x:c>
      <x:c r="AA3" s="4">
        <x:v>12</x:v>
      </x:c>
    </x:row>
    <x:row r="4" ht="18" customHeight="1">
      <x:c r="B4" s="167"/>
      <x:c r="C4" s="168" t="s">
        <x:v>2</x:v>
      </x:c>
      <x:c r="D4" s="169"/>
      <x:c r="E4" s="169"/>
      <x:c r="F4" s="169"/>
      <x:c r="G4" s="169"/>
      <x:c r="H4" s="169"/>
      <x:c r="I4" s="169"/>
      <x:c r="J4" s="169"/>
      <x:c r="K4" s="169"/>
      <x:c r="L4" s="169"/>
      <x:c r="M4" s="169"/>
      <x:c r="N4" s="169"/>
      <x:c r="O4" s="168"/>
      <x:c r="P4" s="169"/>
      <x:c r="Q4" s="169"/>
      <x:c r="R4" s="169"/>
      <x:c r="S4" s="169"/>
      <x:c r="T4" s="169"/>
      <x:c r="U4" s="169"/>
      <x:c r="V4" s="169"/>
      <x:c r="W4" s="169"/>
      <x:c r="X4" s="169"/>
      <x:c r="Y4" s="169"/>
      <x:c r="Z4" s="169"/>
      <x:c r="AA4" s="170"/>
    </x:row>
    <x:row r="5" ht="18" customHeight="1">
      <x:c r="B5" s="171" t="s">
        <x:v>3</x:v>
      </x:c>
      <x:c r="C5" s="172" t="s">
        <x:v>4</x:v>
      </x:c>
      <x:c r="D5" s="297"/>
      <x:c r="E5" s="297"/>
      <x:c r="F5" s="297"/>
      <x:c r="G5" s="297"/>
      <x:c r="H5" s="298"/>
      <x:c r="I5" s="298"/>
      <x:c r="J5" s="300" t="str">
        <x:v>●</x:v>
      </x:c>
      <x:c r="K5" s="298"/>
      <x:c r="L5" s="297"/>
      <x:c r="M5" s="297"/>
      <x:c r="N5" s="297"/>
      <x:c r="O5" s="299"/>
      <x:c r="P5" s="173"/>
      <x:c r="Q5" s="173"/>
      <x:c r="R5" s="173"/>
      <x:c r="S5" s="173"/>
      <x:c r="T5" s="173"/>
      <x:c r="U5" s="173"/>
      <x:c r="V5" s="173"/>
      <x:c r="W5" s="173"/>
      <x:c r="X5" s="173"/>
      <x:c r="Y5" s="178"/>
      <x:c r="Z5" s="178"/>
      <x:c r="AA5" s="179"/>
    </x:row>
    <x:row r="6" ht="18" customHeight="1">
      <x:c r="B6" s="171" t="s">
        <x:v>5</x:v>
      </x:c>
      <x:c r="C6" s="172" t="s">
        <x:v>6</x:v>
      </x:c>
      <x:c r="D6" s="297"/>
      <x:c r="E6" s="297"/>
      <x:c r="F6" s="297"/>
      <x:c r="G6" s="297"/>
      <x:c r="H6" s="297"/>
      <x:c r="I6" s="298"/>
      <x:c r="J6" s="300" t="str">
        <x:v>●</x:v>
      </x:c>
      <x:c r="K6" s="298"/>
      <x:c r="L6" s="297"/>
      <x:c r="M6" s="297"/>
      <x:c r="N6" s="297"/>
      <x:c r="O6" s="299"/>
      <x:c r="P6" s="173"/>
      <x:c r="Q6" s="173"/>
      <x:c r="R6" s="173"/>
      <x:c r="S6" s="173"/>
      <x:c r="T6" s="173"/>
      <x:c r="U6" s="173"/>
      <x:c r="V6" s="173"/>
      <x:c r="W6" s="173"/>
      <x:c r="X6" s="173"/>
      <x:c r="Y6" s="178"/>
      <x:c r="Z6" s="178"/>
      <x:c r="AA6" s="179"/>
    </x:row>
    <x:row r="7" ht="18" customHeight="1">
      <x:c r="A7" s="6"/>
      <x:c r="B7" s="180"/>
      <x:c r="C7" s="181" t="s">
        <x:v>7</x:v>
      </x:c>
      <x:c r="D7" s="182"/>
      <x:c r="E7" s="182"/>
      <x:c r="F7" s="182"/>
      <x:c r="G7" s="182"/>
      <x:c r="H7" s="182"/>
      <x:c r="I7" s="182"/>
      <x:c r="J7" s="182"/>
      <x:c r="K7" s="182"/>
      <x:c r="L7" s="182"/>
      <x:c r="M7" s="182"/>
      <x:c r="N7" s="182"/>
      <x:c r="O7" s="181"/>
      <x:c r="P7" s="182"/>
      <x:c r="Q7" s="182"/>
      <x:c r="R7" s="182"/>
      <x:c r="S7" s="182"/>
      <x:c r="T7" s="182"/>
      <x:c r="U7" s="182"/>
      <x:c r="V7" s="182"/>
      <x:c r="W7" s="182"/>
      <x:c r="X7" s="182"/>
      <x:c r="Y7" s="183"/>
      <x:c r="Z7" s="183"/>
      <x:c r="AA7" s="184"/>
    </x:row>
    <x:row r="8" ht="18" customHeight="1">
      <x:c r="B8" s="185" t="s">
        <x:v>8</x:v>
      </x:c>
      <x:c r="C8" s="186" t="s">
        <x:v>9</x:v>
      </x:c>
      <x:c r="D8" s="297"/>
      <x:c r="E8" s="297"/>
      <x:c r="F8" s="297"/>
      <x:c r="G8" s="297"/>
      <x:c r="H8" s="297"/>
      <x:c r="I8" s="297"/>
      <x:c r="J8" s="302" t="str">
        <x:v>●</x:v>
      </x:c>
      <x:c r="K8" s="298"/>
      <x:c r="L8" s="298"/>
      <x:c r="M8" s="297"/>
      <x:c r="N8" s="297"/>
      <x:c r="O8" s="297"/>
      <x:c r="P8" s="187"/>
      <x:c r="Q8" s="173"/>
      <x:c r="R8" s="173"/>
      <x:c r="S8" s="173"/>
      <x:c r="T8" s="173"/>
      <x:c r="U8" s="173"/>
      <x:c r="V8" s="173"/>
      <x:c r="W8" s="173"/>
      <x:c r="X8" s="173"/>
      <x:c r="Y8" s="178"/>
      <x:c r="Z8" s="178"/>
      <x:c r="AA8" s="179"/>
    </x:row>
    <x:row r="9" ht="18" customHeight="1">
      <x:c r="B9" s="185" t="s">
        <x:v>10</x:v>
      </x:c>
      <x:c r="C9" s="186" t="s">
        <x:v>11</x:v>
      </x:c>
      <x:c r="D9" s="297"/>
      <x:c r="E9" s="297"/>
      <x:c r="F9" s="297"/>
      <x:c r="G9" s="297"/>
      <x:c r="H9" s="297"/>
      <x:c r="I9" s="297"/>
      <x:c r="J9" s="302" t="str">
        <x:v>●</x:v>
      </x:c>
      <x:c r="K9" s="298"/>
      <x:c r="L9" s="298"/>
      <x:c r="M9" s="297"/>
      <x:c r="N9" s="297"/>
      <x:c r="O9" s="297"/>
      <x:c r="P9" s="187"/>
      <x:c r="Q9" s="173"/>
      <x:c r="R9" s="173"/>
      <x:c r="S9" s="173"/>
      <x:c r="T9" s="173"/>
      <x:c r="U9" s="173"/>
      <x:c r="V9" s="173"/>
      <x:c r="W9" s="173"/>
      <x:c r="X9" s="173"/>
      <x:c r="Y9" s="178"/>
      <x:c r="Z9" s="178"/>
      <x:c r="AA9" s="179"/>
    </x:row>
    <x:row r="10" ht="18" customHeight="1">
      <x:c r="B10" s="185" t="s">
        <x:v>12</x:v>
      </x:c>
      <x:c r="C10" s="186" t="s">
        <x:v>13</x:v>
      </x:c>
      <x:c r="D10" s="297"/>
      <x:c r="E10" s="297"/>
      <x:c r="F10" s="297"/>
      <x:c r="G10" s="297"/>
      <x:c r="H10" s="297"/>
      <x:c r="I10" s="297"/>
      <x:c r="J10" s="302" t="str">
        <x:v>●</x:v>
      </x:c>
      <x:c r="K10" s="298"/>
      <x:c r="L10" s="298"/>
      <x:c r="M10" s="297"/>
      <x:c r="N10" s="297"/>
      <x:c r="O10" s="297"/>
      <x:c r="P10" s="187"/>
      <x:c r="Q10" s="173"/>
      <x:c r="R10" s="173"/>
      <x:c r="S10" s="173"/>
      <x:c r="T10" s="173"/>
      <x:c r="U10" s="173"/>
      <x:c r="V10" s="173"/>
      <x:c r="W10" s="173"/>
      <x:c r="X10" s="173"/>
      <x:c r="Y10" s="178"/>
      <x:c r="Z10" s="178"/>
      <x:c r="AA10" s="179"/>
    </x:row>
    <x:row r="11" ht="18" customHeight="1">
      <x:c r="B11" s="185" t="s">
        <x:v>14</x:v>
      </x:c>
      <x:c r="C11" s="172" t="s">
        <x:v>15</x:v>
      </x:c>
      <x:c r="D11" s="297"/>
      <x:c r="E11" s="297"/>
      <x:c r="F11" s="297"/>
      <x:c r="G11" s="297"/>
      <x:c r="H11" s="297"/>
      <x:c r="I11" s="297"/>
      <x:c r="J11" s="302" t="str">
        <x:v>●</x:v>
      </x:c>
      <x:c r="K11" s="298"/>
      <x:c r="L11" s="298"/>
      <x:c r="M11" s="297"/>
      <x:c r="N11" s="297"/>
      <x:c r="O11" s="297"/>
      <x:c r="P11" s="187"/>
      <x:c r="Q11" s="173"/>
      <x:c r="R11" s="173"/>
      <x:c r="S11" s="173"/>
      <x:c r="T11" s="173"/>
      <x:c r="U11" s="173"/>
      <x:c r="V11" s="173"/>
      <x:c r="W11" s="173"/>
      <x:c r="X11" s="173"/>
      <x:c r="Y11" s="178"/>
      <x:c r="Z11" s="178"/>
      <x:c r="AA11" s="179"/>
    </x:row>
    <x:row r="12" ht="18" customHeight="1">
      <x:c r="B12" s="185" t="s">
        <x:v>16</x:v>
      </x:c>
      <x:c r="C12" s="172" t="s">
        <x:v>17</x:v>
      </x:c>
      <x:c r="D12" s="297"/>
      <x:c r="E12" s="297"/>
      <x:c r="F12" s="297"/>
      <x:c r="G12" s="297"/>
      <x:c r="H12" s="297"/>
      <x:c r="I12" s="297"/>
      <x:c r="J12" s="302" t="str">
        <x:v>●</x:v>
      </x:c>
      <x:c r="K12" s="298"/>
      <x:c r="L12" s="298"/>
      <x:c r="M12" s="298"/>
      <x:c r="N12" s="297"/>
      <x:c r="O12" s="297"/>
      <x:c r="P12" s="187"/>
      <x:c r="Q12" s="173"/>
      <x:c r="R12" s="176"/>
      <x:c r="S12" s="176"/>
      <x:c r="T12" s="176"/>
      <x:c r="U12" s="173"/>
      <x:c r="V12" s="173"/>
      <x:c r="W12" s="173"/>
      <x:c r="X12" s="173"/>
      <x:c r="Y12" s="178"/>
      <x:c r="Z12" s="178"/>
      <x:c r="AA12" s="179"/>
    </x:row>
    <x:row r="13" ht="18" customHeight="1">
      <x:c r="B13" s="188"/>
      <x:c r="C13" s="189" t="s">
        <x:v>18</x:v>
      </x:c>
      <x:c r="D13" s="190"/>
      <x:c r="E13" s="190"/>
      <x:c r="F13" s="190"/>
      <x:c r="G13" s="190"/>
      <x:c r="H13" s="190"/>
      <x:c r="I13" s="190"/>
      <x:c r="J13" s="190"/>
      <x:c r="K13" s="190"/>
      <x:c r="L13" s="190"/>
      <x:c r="M13" s="190"/>
      <x:c r="N13" s="190"/>
      <x:c r="O13" s="190"/>
      <x:c r="P13" s="191"/>
      <x:c r="Q13" s="182"/>
      <x:c r="R13" s="182"/>
      <x:c r="S13" s="190"/>
      <x:c r="T13" s="190"/>
      <x:c r="U13" s="190"/>
      <x:c r="V13" s="190"/>
      <x:c r="W13" s="190"/>
      <x:c r="X13" s="190"/>
      <x:c r="Y13" s="192"/>
      <x:c r="Z13" s="192"/>
      <x:c r="AA13" s="193"/>
    </x:row>
    <x:row r="14" ht="18" customHeight="1">
      <x:c r="B14" s="185" t="s">
        <x:v>19</x:v>
      </x:c>
      <x:c r="C14" s="186" t="s">
        <x:v>20</x:v>
      </x:c>
      <x:c r="D14" s="297"/>
      <x:c r="E14" s="297"/>
      <x:c r="F14" s="297"/>
      <x:c r="G14" s="297"/>
      <x:c r="H14" s="297"/>
      <x:c r="I14" s="297"/>
      <x:c r="J14" s="302" t="str">
        <x:v>●</x:v>
      </x:c>
      <x:c r="K14" s="297"/>
      <x:c r="L14" s="298"/>
      <x:c r="M14" s="298"/>
      <x:c r="N14" s="297"/>
      <x:c r="O14" s="297"/>
      <x:c r="P14" s="187"/>
      <x:c r="Q14" s="173"/>
      <x:c r="R14" s="173"/>
      <x:c r="S14" s="173"/>
      <x:c r="T14" s="173"/>
      <x:c r="U14" s="173"/>
      <x:c r="V14" s="173"/>
      <x:c r="W14" s="173"/>
      <x:c r="X14" s="173"/>
      <x:c r="Y14" s="178"/>
      <x:c r="Z14" s="178"/>
      <x:c r="AA14" s="179"/>
    </x:row>
    <x:row r="15" ht="18" customHeight="1">
      <x:c r="B15" s="185" t="s">
        <x:v>21</x:v>
      </x:c>
      <x:c r="C15" s="186" t="s">
        <x:v>22</x:v>
      </x:c>
      <x:c r="D15" s="297"/>
      <x:c r="E15" s="297"/>
      <x:c r="F15" s="297"/>
      <x:c r="G15" s="297"/>
      <x:c r="H15" s="297"/>
      <x:c r="I15" s="297"/>
      <x:c r="J15" s="302" t="str">
        <x:v>●</x:v>
      </x:c>
      <x:c r="K15" s="297"/>
      <x:c r="L15" s="297"/>
      <x:c r="M15" s="298"/>
      <x:c r="N15" s="298"/>
      <x:c r="O15" s="297"/>
      <x:c r="P15" s="187"/>
      <x:c r="Q15" s="173"/>
      <x:c r="R15" s="173"/>
      <x:c r="S15" s="173"/>
      <x:c r="T15" s="173"/>
      <x:c r="U15" s="173"/>
      <x:c r="V15" s="173"/>
      <x:c r="W15" s="173"/>
      <x:c r="X15" s="173"/>
      <x:c r="Y15" s="178"/>
      <x:c r="Z15" s="178"/>
      <x:c r="AA15" s="179"/>
    </x:row>
    <x:row r="16" ht="18" customHeight="1">
      <x:c r="B16" s="185" t="s">
        <x:v>23</x:v>
      </x:c>
      <x:c r="C16" s="186" t="s">
        <x:v>24</x:v>
      </x:c>
      <x:c r="D16" s="297"/>
      <x:c r="E16" s="297"/>
      <x:c r="F16" s="297"/>
      <x:c r="G16" s="297"/>
      <x:c r="H16" s="297"/>
      <x:c r="I16" s="297"/>
      <x:c r="J16" s="302" t="str">
        <x:v>●</x:v>
      </x:c>
      <x:c r="K16" s="298"/>
      <x:c r="L16" s="298"/>
      <x:c r="M16" s="297"/>
      <x:c r="N16" s="297"/>
      <x:c r="O16" s="297"/>
      <x:c r="P16" s="187"/>
      <x:c r="Q16" s="173"/>
      <x:c r="R16" s="176"/>
      <x:c r="S16" s="176"/>
      <x:c r="T16" s="176"/>
      <x:c r="U16" s="176"/>
      <x:c r="V16" s="173"/>
      <x:c r="W16" s="173"/>
      <x:c r="X16" s="173"/>
      <x:c r="Y16" s="178"/>
      <x:c r="Z16" s="178"/>
      <x:c r="AA16" s="179"/>
    </x:row>
    <x:row r="17" ht="18" customHeight="1">
      <x:c r="B17" s="188"/>
      <x:c r="C17" s="189" t="s">
        <x:v>25</x:v>
      </x:c>
      <x:c r="D17" s="190"/>
      <x:c r="E17" s="190"/>
      <x:c r="F17" s="190"/>
      <x:c r="G17" s="190"/>
      <x:c r="H17" s="190"/>
      <x:c r="I17" s="190"/>
      <x:c r="J17" s="190"/>
      <x:c r="K17" s="190"/>
      <x:c r="L17" s="190"/>
      <x:c r="M17" s="190"/>
      <x:c r="N17" s="182"/>
      <x:c r="O17" s="182"/>
      <x:c r="P17" s="194"/>
      <x:c r="Q17" s="190"/>
      <x:c r="R17" s="190"/>
      <x:c r="S17" s="190"/>
      <x:c r="T17" s="190"/>
      <x:c r="U17" s="190"/>
      <x:c r="V17" s="190"/>
      <x:c r="W17" s="190"/>
      <x:c r="X17" s="190"/>
      <x:c r="Y17" s="192"/>
      <x:c r="Z17" s="192"/>
      <x:c r="AA17" s="193"/>
    </x:row>
    <x:row r="18" ht="18" customHeight="1">
      <x:c r="B18" s="185" t="s">
        <x:v>26</x:v>
      </x:c>
      <x:c r="C18" s="186" t="s">
        <x:v>27</x:v>
      </x:c>
      <x:c r="D18" s="297"/>
      <x:c r="E18" s="297"/>
      <x:c r="F18" s="297"/>
      <x:c r="G18" s="297"/>
      <x:c r="H18" s="297"/>
      <x:c r="I18" s="297"/>
      <x:c r="J18" s="302" t="str">
        <x:v>●</x:v>
      </x:c>
      <x:c r="K18" s="297"/>
      <x:c r="L18" s="298"/>
      <x:c r="M18" s="298"/>
      <x:c r="N18" s="297"/>
      <x:c r="O18" s="297"/>
      <x:c r="P18" s="187"/>
      <x:c r="Q18" s="173"/>
      <x:c r="R18" s="173"/>
      <x:c r="S18" s="173"/>
      <x:c r="T18" s="173"/>
      <x:c r="U18" s="173"/>
      <x:c r="V18" s="173"/>
      <x:c r="W18" s="173"/>
      <x:c r="X18" s="173"/>
      <x:c r="Y18" s="178"/>
      <x:c r="Z18" s="178"/>
      <x:c r="AA18" s="179"/>
    </x:row>
    <x:row r="19" ht="18" customHeight="1">
      <x:c r="B19" s="185" t="s">
        <x:v>28</x:v>
      </x:c>
      <x:c r="C19" s="186" t="s">
        <x:v>29</x:v>
      </x:c>
      <x:c r="D19" s="297"/>
      <x:c r="E19" s="297"/>
      <x:c r="F19" s="297"/>
      <x:c r="G19" s="297"/>
      <x:c r="H19" s="297"/>
      <x:c r="I19" s="297"/>
      <x:c r="J19" s="302" t="str">
        <x:v>●</x:v>
      </x:c>
      <x:c r="K19" s="297"/>
      <x:c r="L19" s="297"/>
      <x:c r="M19" s="298"/>
      <x:c r="N19" s="298"/>
      <x:c r="O19" s="297"/>
      <x:c r="P19" s="187"/>
      <x:c r="Q19" s="173"/>
      <x:c r="R19" s="173"/>
      <x:c r="S19" s="173"/>
      <x:c r="T19" s="173"/>
      <x:c r="U19" s="173"/>
      <x:c r="V19" s="173"/>
      <x:c r="W19" s="173"/>
      <x:c r="X19" s="173"/>
      <x:c r="Y19" s="178"/>
      <x:c r="Z19" s="178"/>
      <x:c r="AA19" s="179"/>
    </x:row>
    <x:row r="20" ht="18" customHeight="1">
      <x:c r="B20" s="185" t="s">
        <x:v>30</x:v>
      </x:c>
      <x:c r="C20" s="186" t="s">
        <x:v>31</x:v>
      </x:c>
      <x:c r="D20" s="297"/>
      <x:c r="E20" s="297"/>
      <x:c r="F20" s="297"/>
      <x:c r="G20" s="297"/>
      <x:c r="H20" s="297"/>
      <x:c r="I20" s="297"/>
      <x:c r="J20" s="302" t="str">
        <x:v>●</x:v>
      </x:c>
      <x:c r="K20" s="297"/>
      <x:c r="L20" s="298"/>
      <x:c r="M20" s="297"/>
      <x:c r="N20" s="297"/>
      <x:c r="O20" s="297"/>
      <x:c r="P20" s="187"/>
      <x:c r="Q20" s="173"/>
      <x:c r="R20" s="173"/>
      <x:c r="S20" s="173"/>
      <x:c r="T20" s="173"/>
      <x:c r="U20" s="173"/>
      <x:c r="V20" s="173"/>
      <x:c r="W20" s="173"/>
      <x:c r="X20" s="173"/>
      <x:c r="Y20" s="178"/>
      <x:c r="Z20" s="178"/>
      <x:c r="AA20" s="179"/>
    </x:row>
    <x:row r="21" ht="18" customHeight="1">
      <x:c r="B21" s="185" t="s">
        <x:v>32</x:v>
      </x:c>
      <x:c r="C21" s="172" t="s">
        <x:v>33</x:v>
      </x:c>
      <x:c r="D21" s="297"/>
      <x:c r="E21" s="297"/>
      <x:c r="F21" s="297"/>
      <x:c r="G21" s="297"/>
      <x:c r="H21" s="297"/>
      <x:c r="I21" s="297"/>
      <x:c r="J21" s="302" t="str">
        <x:v>●</x:v>
      </x:c>
      <x:c r="K21" s="297"/>
      <x:c r="L21" s="298"/>
      <x:c r="M21" s="298"/>
      <x:c r="N21" s="297"/>
      <x:c r="O21" s="297"/>
      <x:c r="P21" s="187"/>
      <x:c r="Q21" s="173"/>
      <x:c r="R21" s="173"/>
      <x:c r="S21" s="173"/>
      <x:c r="T21" s="173"/>
      <x:c r="U21" s="173"/>
      <x:c r="V21" s="173"/>
      <x:c r="W21" s="173"/>
      <x:c r="X21" s="173"/>
      <x:c r="Y21" s="178"/>
      <x:c r="Z21" s="178"/>
      <x:c r="AA21" s="179"/>
    </x:row>
    <x:row r="22" ht="18" customHeight="1">
      <x:c r="B22" s="188"/>
      <x:c r="C22" s="195" t="s">
        <x:v>34</x:v>
      </x:c>
      <x:c r="D22" s="190"/>
      <x:c r="E22" s="190"/>
      <x:c r="F22" s="190"/>
      <x:c r="G22" s="190"/>
      <x:c r="H22" s="190"/>
      <x:c r="I22" s="190"/>
      <x:c r="J22" s="190"/>
      <x:c r="K22" s="182"/>
      <x:c r="L22" s="182"/>
      <x:c r="M22" s="182"/>
      <x:c r="N22" s="182"/>
      <x:c r="O22" s="182"/>
      <x:c r="P22" s="194"/>
      <x:c r="Q22" s="190"/>
      <x:c r="R22" s="190"/>
      <x:c r="S22" s="190"/>
      <x:c r="T22" s="190"/>
      <x:c r="U22" s="190"/>
      <x:c r="V22" s="190"/>
      <x:c r="W22" s="190"/>
      <x:c r="X22" s="190"/>
      <x:c r="Y22" s="192"/>
      <x:c r="Z22" s="192"/>
      <x:c r="AA22" s="193"/>
    </x:row>
    <x:row r="23" ht="18" customHeight="1">
      <x:c r="B23" s="185" t="s">
        <x:v>35</x:v>
      </x:c>
      <x:c r="C23" s="172" t="s">
        <x:v>36</x:v>
      </x:c>
      <x:c r="D23" s="297"/>
      <x:c r="E23" s="297"/>
      <x:c r="F23" s="297"/>
      <x:c r="G23" s="297"/>
      <x:c r="H23" s="297"/>
      <x:c r="I23" s="297"/>
      <x:c r="J23" s="302" t="str">
        <x:v>●</x:v>
      </x:c>
      <x:c r="K23" s="297"/>
      <x:c r="L23" s="297"/>
      <x:c r="M23" s="298"/>
      <x:c r="N23" s="297"/>
      <x:c r="O23" s="297"/>
      <x:c r="P23" s="187"/>
      <x:c r="Q23" s="173"/>
      <x:c r="R23" s="173"/>
      <x:c r="S23" s="173"/>
      <x:c r="T23" s="173"/>
      <x:c r="U23" s="173"/>
      <x:c r="V23" s="173"/>
      <x:c r="W23" s="173"/>
      <x:c r="X23" s="173"/>
      <x:c r="Y23" s="178"/>
      <x:c r="Z23" s="178"/>
      <x:c r="AA23" s="179"/>
    </x:row>
    <x:row r="24" ht="18" customHeight="1">
      <x:c r="B24" s="185" t="s">
        <x:v>37</x:v>
      </x:c>
      <x:c r="C24" s="172" t="s">
        <x:v>38</x:v>
      </x:c>
      <x:c r="D24" s="297"/>
      <x:c r="E24" s="297"/>
      <x:c r="F24" s="297"/>
      <x:c r="G24" s="297"/>
      <x:c r="H24" s="297"/>
      <x:c r="I24" s="297"/>
      <x:c r="J24" s="302" t="str">
        <x:v>●</x:v>
      </x:c>
      <x:c r="K24" s="297"/>
      <x:c r="L24" s="297"/>
      <x:c r="M24" s="298"/>
      <x:c r="N24" s="298"/>
      <x:c r="O24" s="297"/>
      <x:c r="P24" s="187"/>
      <x:c r="Q24" s="173"/>
      <x:c r="R24" s="173"/>
      <x:c r="S24" s="173"/>
      <x:c r="T24" s="173"/>
      <x:c r="U24" s="173"/>
      <x:c r="V24" s="173"/>
      <x:c r="W24" s="173"/>
      <x:c r="X24" s="173"/>
      <x:c r="Y24" s="178"/>
      <x:c r="Z24" s="178"/>
      <x:c r="AA24" s="179"/>
    </x:row>
    <x:row r="25" ht="18" customHeight="1">
      <x:c r="B25" s="185" t="s">
        <x:v>39</x:v>
      </x:c>
      <x:c r="C25" s="172" t="s">
        <x:v>40</x:v>
      </x:c>
      <x:c r="D25" s="297"/>
      <x:c r="E25" s="297"/>
      <x:c r="F25" s="297"/>
      <x:c r="G25" s="297"/>
      <x:c r="H25" s="297"/>
      <x:c r="I25" s="297"/>
      <x:c r="J25" s="302" t="str">
        <x:v>●</x:v>
      </x:c>
      <x:c r="K25" s="297"/>
      <x:c r="L25" s="297"/>
      <x:c r="M25" s="298"/>
      <x:c r="N25" s="298"/>
      <x:c r="O25" s="297"/>
      <x:c r="P25" s="187"/>
      <x:c r="Q25" s="173"/>
      <x:c r="R25" s="176"/>
      <x:c r="S25" s="176"/>
      <x:c r="T25" s="176"/>
      <x:c r="U25" s="173"/>
      <x:c r="V25" s="173"/>
      <x:c r="W25" s="173"/>
      <x:c r="X25" s="173"/>
      <x:c r="Y25" s="178"/>
      <x:c r="Z25" s="178"/>
      <x:c r="AA25" s="179"/>
    </x:row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B2:C3"/>
    <x:mergeCell ref="D2:O2"/>
    <x:mergeCell ref="P2:AA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6640625" defaultRowHeight="14"/>
  <x:cols>
    <x:col min="1" max="1" width="27.1640625" customWidth="1"/>
    <x:col min="2" max="2" width="8.83203125" customWidth="1"/>
    <x:col min="3" max="3" width="24.33203125" customWidth="1"/>
    <x:col min="4" max="4" width="19.33203125" customWidth="1"/>
    <x:col min="5" max="5" width="36.1640625" customWidth="1"/>
    <x:col min="6" max="26" width="8.83203125" customWidth="1"/>
  </x:cols>
  <x:sheetData>
    <x:row r="1" ht="33" customHeight="1">
      <x:c r="A1" s="242" t="s">
        <x:v>41</x:v>
      </x:c>
      <x:c r="B1" s="243"/>
      <x:c r="C1" s="243"/>
      <x:c r="D1" s="243"/>
      <x:c r="E1" s="244"/>
    </x:row>
    <x:row r="2" ht="18" customHeight="1">
      <x:c r="A2" s="7" t="s">
        <x:v>42</x:v>
      </x:c>
      <x:c r="B2" s="245" t="s">
        <x:v>43</x:v>
      </x:c>
      <x:c r="C2" s="243"/>
      <x:c r="D2" s="243"/>
      <x:c r="E2" s="244"/>
    </x:row>
    <x:row r="3" ht="18" customHeight="1">
      <x:c r="A3" s="7" t="s">
        <x:v>44</x:v>
      </x:c>
      <x:c r="B3" s="245" t="s">
        <x:v>45</x:v>
      </x:c>
      <x:c r="C3" s="243"/>
      <x:c r="D3" s="243"/>
      <x:c r="E3" s="244"/>
    </x:row>
    <x:row r="4" ht="18" customHeight="1">
      <x:c r="A4" s="7" t="s">
        <x:v>46</x:v>
      </x:c>
      <x:c r="B4" s="246"/>
      <x:c r="C4" s="243"/>
      <x:c r="D4" s="243"/>
      <x:c r="E4" s="244"/>
    </x:row>
    <x:row r="5" ht="18" customHeight="1">
      <x:c r="A5" s="7" t="s">
        <x:v>47</x:v>
      </x:c>
      <x:c r="B5" s="246" t="s">
        <x:v>48</x:v>
      </x:c>
      <x:c r="C5" s="243"/>
      <x:c r="D5" s="243"/>
      <x:c r="E5" s="244"/>
    </x:row>
    <x:row r="6" ht="18" customHeight="1">
      <x:c r="A6" s="7" t="s">
        <x:v>49</x:v>
      </x:c>
      <x:c r="B6" s="246" t="s">
        <x:v>48</x:v>
      </x:c>
      <x:c r="C6" s="243"/>
      <x:c r="D6" s="243"/>
      <x:c r="E6" s="244"/>
    </x:row>
    <x:row r="7" ht="18" customHeight="1">
      <x:c r="A7" s="7" t="s">
        <x:v>50</x:v>
      </x:c>
      <x:c r="B7" s="246" t="s">
        <x:v>51</x:v>
      </x:c>
      <x:c r="C7" s="243"/>
      <x:c r="D7" s="243"/>
      <x:c r="E7" s="244"/>
    </x:row>
    <x:row r="8" ht="41" customHeight="1">
      <x:c r="A8" s="7" t="s">
        <x:v>52</x:v>
      </x:c>
      <x:c r="B8" s="258" t="n">
        <x:v>46210</x:v>
      </x:c>
      <x:c r="C8" s="244"/>
      <x:c r="D8" s="7" t="s">
        <x:v>53</x:v>
      </x:c>
      <x:c r="E8" s="196" t="n">
        <x:v>46221</x:v>
      </x:c>
    </x:row>
    <x:row r="9" ht="102" customHeight="1">
      <x:c r="A9" s="7" t="s">
        <x:v>54</x:v>
      </x:c>
      <x:c r="B9" s="246" t="s">
        <x:v>55</x:v>
      </x:c>
      <x:c r="C9" s="243"/>
      <x:c r="D9" s="243"/>
      <x:c r="E9" s="244"/>
      <x:c r="G9" s="8" t="s">
        <x:v>56</x:v>
      </x:c>
    </x:row>
    <x:row r="10" ht="42" customHeight="1">
      <x:c r="A10" s="7" t="s">
        <x:v>57</x:v>
      </x:c>
      <x:c r="B10" s="259" t="s">
        <x:v>58</x:v>
      </x:c>
      <x:c r="C10" s="244"/>
      <x:c r="D10" s="7" t="s">
        <x:v>59</x:v>
      </x:c>
      <x:c r="E10" s="9" t="s">
        <x:v>60</x:v>
      </x:c>
    </x:row>
    <x:row r="11" ht="18" customHeight="1">
      <x:c r="A11" s="247" t="s">
        <x:v>61</x:v>
      </x:c>
      <x:c r="B11" s="260" t="s">
        <x:v>62</x:v>
      </x:c>
      <x:c r="C11" s="252"/>
      <x:c r="D11" s="247" t="s">
        <x:v>50</x:v>
      </x:c>
      <x:c r="E11" s="262" t="s">
        <x:v>51</x:v>
      </x:c>
    </x:row>
    <x:row r="12" ht="24" customHeight="1">
      <x:c r="A12" s="249"/>
      <x:c r="B12" s="261"/>
      <x:c r="C12" s="237"/>
      <x:c r="D12" s="249"/>
      <x:c r="E12" s="249"/>
    </x:row>
    <x:row r="13" ht="18" customHeight="1">
      <x:c r="A13" s="247" t="s">
        <x:v>63</x:v>
      </x:c>
      <x:c r="B13" s="250" t="s">
        <x:v>64</x:v>
      </x:c>
      <x:c r="C13" s="251"/>
      <x:c r="D13" s="251"/>
      <x:c r="E13" s="252"/>
    </x:row>
    <x:row r="14" ht="18" customHeight="1">
      <x:c r="A14" s="248"/>
      <x:c r="B14" s="253"/>
      <x:c r="C14" s="254"/>
      <x:c r="D14" s="254"/>
      <x:c r="E14" s="255"/>
    </x:row>
    <x:row r="15" ht="32" customHeight="1">
      <x:c r="A15" s="249"/>
      <x:c r="B15" s="256"/>
      <x:c r="C15" s="257"/>
      <x:c r="D15" s="257"/>
      <x:c r="E15" s="237"/>
    </x:row>
    <x:row r="16" ht="18" customHeight="1">
      <x:c r="A16" s="10"/>
      <x:c r="B16" s="10"/>
      <x:c r="C16" s="10"/>
      <x:c r="D16" s="10"/>
      <x:c r="E16" s="10"/>
    </x:row>
    <x:row r="17" ht="18" customHeight="1">
      <x:c r="A17" s="10"/>
      <x:c r="B17" s="10"/>
      <x:c r="C17" s="10"/>
      <x:c r="D17" s="10"/>
      <x:c r="E17" s="10"/>
    </x:row>
    <x:row r="18" ht="18" customHeight="1">
      <x:c r="A18" s="10"/>
      <x:c r="B18" s="10"/>
      <x:c r="C18" s="10"/>
      <x:c r="D18" s="10"/>
      <x:c r="E18" s="10"/>
    </x:row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B6:E6"/>
    <x:mergeCell ref="B7:E7"/>
    <x:mergeCell ref="A13:A15"/>
    <x:mergeCell ref="B13:E15"/>
    <x:mergeCell ref="B8:C8"/>
    <x:mergeCell ref="B9:E9"/>
    <x:mergeCell ref="B10:C10"/>
    <x:mergeCell ref="A11:A12"/>
    <x:mergeCell ref="B11:C12"/>
    <x:mergeCell ref="D11:D12"/>
    <x:mergeCell ref="E11:E12"/>
    <x:mergeCell ref="A1:E1"/>
    <x:mergeCell ref="B2:E2"/>
    <x:mergeCell ref="B3:E3"/>
    <x:mergeCell ref="B4:E4"/>
    <x:mergeCell ref="B5:E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2.6640625" defaultRowHeight="14"/>
  <x:cols>
    <x:col min="1" max="1" width="14.83203125" customWidth="1"/>
    <x:col min="2" max="2" width="48.1640625" customWidth="1"/>
    <x:col min="3" max="3" width="4.1640625" hidden="1" customWidth="1"/>
    <x:col min="4" max="4" width="10.33203125" customWidth="1"/>
    <x:col min="5" max="5" width="7.5" hidden="1" customWidth="1"/>
    <x:col min="6" max="6" width="8.1640625" hidden="1" customWidth="1"/>
    <x:col min="7" max="7" width="8.83203125" hidden="1" customWidth="1"/>
    <x:col min="8" max="39" width="3.1640625" customWidth="1"/>
    <x:col min="40" max="40" width="9" customWidth="1"/>
    <x:col min="41" max="41" width="10.33203125" customWidth="1"/>
  </x:cols>
  <x:sheetData>
    <x:row r="1" ht="15">
      <x:c r="A1" s="11"/>
      <x:c r="B1" s="11"/>
      <x:c r="C1" s="11"/>
      <x:c r="D1" s="11"/>
      <x:c r="E1" s="11"/>
      <x:c r="F1" s="11"/>
      <x:c r="G1" s="12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3" t="s">
        <x:v>65</x:v>
      </x:c>
    </x:row>
    <x:row r="2" ht="21">
      <x:c r="A2" s="270" t="s">
        <x:v>66</x:v>
      </x:c>
      <x:c r="B2" s="254"/>
      <x:c r="C2" s="254"/>
      <x:c r="D2" s="254"/>
      <x:c r="E2" s="254"/>
      <x:c r="F2" s="254"/>
      <x:c r="G2" s="254"/>
      <x:c r="H2" s="254"/>
      <x:c r="I2" s="254"/>
      <x:c r="J2" s="254"/>
      <x:c r="K2" s="254"/>
      <x:c r="L2" s="254"/>
      <x:c r="M2" s="254"/>
      <x:c r="N2" s="254"/>
      <x:c r="O2" s="254"/>
      <x:c r="P2" s="254"/>
      <x:c r="Q2" s="25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1"/>
      <x:c r="AO2" s="13" t="s">
        <x:v>67</x:v>
      </x:c>
    </x:row>
    <x:row r="3" ht="15">
      <x:c r="A3" s="11"/>
      <x:c r="B3" s="11"/>
      <x:c r="C3" s="11"/>
      <x:c r="D3" s="11"/>
      <x:c r="E3" s="11"/>
      <x:c r="F3" s="11"/>
      <x:c r="G3" s="12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3" t="s">
        <x:v>68</x:v>
      </x:c>
    </x:row>
    <x:row r="4" ht="25" customHeight="1">
      <x:c r="A4" s="271" t="s">
        <x:v>69</x:v>
      </x:c>
      <x:c r="B4" s="251"/>
      <x:c r="C4" s="251"/>
      <x:c r="D4" s="251"/>
      <x:c r="E4" s="251"/>
      <x:c r="F4" s="251"/>
      <x:c r="G4" s="252"/>
      <x:c r="H4" s="272">
        <x:v>2026</x:v>
      </x:c>
      <x:c r="I4" s="251"/>
      <x:c r="J4" s="251"/>
      <x:c r="K4" s="251"/>
      <x:c r="L4" s="251"/>
      <x:c r="M4" s="251"/>
      <x:c r="N4" s="251"/>
      <x:c r="O4" s="251"/>
      <x:c r="P4" s="251"/>
      <x:c r="Q4" s="251"/>
      <x:c r="R4" s="251"/>
      <x:c r="S4" s="251"/>
      <x:c r="T4" s="251"/>
      <x:c r="U4" s="251"/>
      <x:c r="V4" s="251"/>
      <x:c r="W4" s="251"/>
      <x:c r="X4" s="251"/>
      <x:c r="Y4" s="251"/>
      <x:c r="Z4" s="251"/>
      <x:c r="AA4" s="251"/>
      <x:c r="AB4" s="251"/>
      <x:c r="AC4" s="251"/>
      <x:c r="AD4" s="251"/>
      <x:c r="AE4" s="252"/>
      <x:c r="AF4" s="272">
        <x:v>2027</x:v>
      </x:c>
      <x:c r="AG4" s="251"/>
      <x:c r="AH4" s="251"/>
      <x:c r="AI4" s="251"/>
      <x:c r="AJ4" s="251"/>
      <x:c r="AK4" s="251"/>
      <x:c r="AL4" s="251"/>
      <x:c r="AM4" s="252"/>
      <x:c r="AN4" s="11"/>
      <x:c r="AO4" s="11"/>
    </x:row>
    <x:row r="5" ht="25" customHeight="1">
      <x:c r="A5" s="256"/>
      <x:c r="B5" s="257"/>
      <x:c r="C5" s="257"/>
      <x:c r="D5" s="257"/>
      <x:c r="E5" s="257"/>
      <x:c r="F5" s="257"/>
      <x:c r="G5" s="237"/>
      <x:c r="H5" s="256"/>
      <x:c r="I5" s="257"/>
      <x:c r="J5" s="257"/>
      <x:c r="K5" s="257"/>
      <x:c r="L5" s="257"/>
      <x:c r="M5" s="257"/>
      <x:c r="N5" s="257"/>
      <x:c r="O5" s="257"/>
      <x:c r="P5" s="257"/>
      <x:c r="Q5" s="257"/>
      <x:c r="R5" s="257"/>
      <x:c r="S5" s="257"/>
      <x:c r="T5" s="257"/>
      <x:c r="U5" s="257"/>
      <x:c r="V5" s="257"/>
      <x:c r="W5" s="257"/>
      <x:c r="X5" s="257"/>
      <x:c r="Y5" s="257"/>
      <x:c r="Z5" s="257"/>
      <x:c r="AA5" s="257"/>
      <x:c r="AB5" s="257"/>
      <x:c r="AC5" s="257"/>
      <x:c r="AD5" s="257"/>
      <x:c r="AE5" s="237"/>
      <x:c r="AF5" s="256"/>
      <x:c r="AG5" s="257"/>
      <x:c r="AH5" s="257"/>
      <x:c r="AI5" s="257"/>
      <x:c r="AJ5" s="257"/>
      <x:c r="AK5" s="257"/>
      <x:c r="AL5" s="257"/>
      <x:c r="AM5" s="237"/>
      <x:c r="AN5" s="11"/>
      <x:c r="AO5" s="11"/>
    </x:row>
    <x:row r="6" ht="29" customHeight="1">
      <x:c r="A6" s="273" t="s">
        <x:v>70</x:v>
      </x:c>
      <x:c r="B6" s="273" t="s">
        <x:v>71</x:v>
      </x:c>
      <x:c r="C6" s="15" t="n">
        <x:f>Y2-X2+Z2</x:f>
        <x:v>0</x:v>
      </x:c>
      <x:c r="D6" s="273" t="s">
        <x:v>72</x:v>
      </x:c>
      <x:c r="E6" s="263" t="s">
        <x:v>73</x:v>
      </x:c>
      <x:c r="F6" s="244"/>
      <x:c r="G6" s="264" t="s">
        <x:v>74</x:v>
      </x:c>
      <x:c r="H6" s="265" t="s">
        <x:v>75</x:v>
      </x:c>
      <x:c r="I6" s="243"/>
      <x:c r="J6" s="243"/>
      <x:c r="K6" s="244"/>
      <x:c r="L6" s="265" t="s">
        <x:v>76</x:v>
      </x:c>
      <x:c r="M6" s="243"/>
      <x:c r="N6" s="243"/>
      <x:c r="O6" s="244"/>
      <x:c r="P6" s="265" t="s">
        <x:v>77</x:v>
      </x:c>
      <x:c r="Q6" s="243"/>
      <x:c r="R6" s="243"/>
      <x:c r="S6" s="244"/>
      <x:c r="T6" s="265" t="s">
        <x:v>78</x:v>
      </x:c>
      <x:c r="U6" s="243"/>
      <x:c r="V6" s="243"/>
      <x:c r="W6" s="244"/>
      <x:c r="X6" s="265" t="s">
        <x:v>79</x:v>
      </x:c>
      <x:c r="Y6" s="243"/>
      <x:c r="Z6" s="243"/>
      <x:c r="AA6" s="244"/>
      <x:c r="AB6" s="265" t="s">
        <x:v>80</x:v>
      </x:c>
      <x:c r="AC6" s="243"/>
      <x:c r="AD6" s="243"/>
      <x:c r="AE6" s="244"/>
      <x:c r="AF6" s="265" t="s">
        <x:v>81</x:v>
      </x:c>
      <x:c r="AG6" s="243"/>
      <x:c r="AH6" s="243"/>
      <x:c r="AI6" s="244"/>
      <x:c r="AJ6" s="265" t="s">
        <x:v>82</x:v>
      </x:c>
      <x:c r="AK6" s="243"/>
      <x:c r="AL6" s="243"/>
      <x:c r="AM6" s="244"/>
      <x:c r="AN6" s="11"/>
      <x:c r="AO6" s="11"/>
    </x:row>
    <x:row r="7" ht="39" customHeight="1">
      <x:c r="A7" s="249"/>
      <x:c r="B7" s="249"/>
      <x:c r="C7" s="16" t="s">
        <x:v>83</x:v>
      </x:c>
      <x:c r="D7" s="249"/>
      <x:c r="E7" s="15" t="s">
        <x:v>84</x:v>
      </x:c>
      <x:c r="F7" s="15" t="s">
        <x:v>85</x:v>
      </x:c>
      <x:c r="G7" s="249"/>
      <x:c r="H7" s="17" t="s">
        <x:v>86</x:v>
      </x:c>
      <x:c r="I7" s="17" t="s">
        <x:v>87</x:v>
      </x:c>
      <x:c r="J7" s="17" t="s">
        <x:v>88</x:v>
      </x:c>
      <x:c r="K7" s="17" t="s">
        <x:v>89</x:v>
      </x:c>
      <x:c r="L7" s="17" t="s">
        <x:v>86</x:v>
      </x:c>
      <x:c r="M7" s="17" t="s">
        <x:v>87</x:v>
      </x:c>
      <x:c r="N7" s="17" t="s">
        <x:v>88</x:v>
      </x:c>
      <x:c r="O7" s="17" t="s">
        <x:v>89</x:v>
      </x:c>
      <x:c r="P7" s="17" t="s">
        <x:v>86</x:v>
      </x:c>
      <x:c r="Q7" s="17" t="s">
        <x:v>87</x:v>
      </x:c>
      <x:c r="R7" s="17" t="s">
        <x:v>88</x:v>
      </x:c>
      <x:c r="S7" s="17" t="s">
        <x:v>89</x:v>
      </x:c>
      <x:c r="T7" s="17" t="s">
        <x:v>86</x:v>
      </x:c>
      <x:c r="U7" s="17" t="s">
        <x:v>87</x:v>
      </x:c>
      <x:c r="V7" s="17" t="s">
        <x:v>88</x:v>
      </x:c>
      <x:c r="W7" s="17" t="s">
        <x:v>89</x:v>
      </x:c>
      <x:c r="X7" s="17" t="s">
        <x:v>86</x:v>
      </x:c>
      <x:c r="Y7" s="17" t="s">
        <x:v>87</x:v>
      </x:c>
      <x:c r="Z7" s="17" t="s">
        <x:v>88</x:v>
      </x:c>
      <x:c r="AA7" s="17" t="s">
        <x:v>89</x:v>
      </x:c>
      <x:c r="AB7" s="17" t="s">
        <x:v>86</x:v>
      </x:c>
      <x:c r="AC7" s="17" t="s">
        <x:v>87</x:v>
      </x:c>
      <x:c r="AD7" s="17" t="s">
        <x:v>88</x:v>
      </x:c>
      <x:c r="AE7" s="17" t="s">
        <x:v>89</x:v>
      </x:c>
      <x:c r="AF7" s="17" t="s">
        <x:v>86</x:v>
      </x:c>
      <x:c r="AG7" s="17" t="s">
        <x:v>87</x:v>
      </x:c>
      <x:c r="AH7" s="17" t="s">
        <x:v>88</x:v>
      </x:c>
      <x:c r="AI7" s="17" t="s">
        <x:v>89</x:v>
      </x:c>
      <x:c r="AJ7" s="17" t="s">
        <x:v>86</x:v>
      </x:c>
      <x:c r="AK7" s="17" t="s">
        <x:v>87</x:v>
      </x:c>
      <x:c r="AL7" s="17" t="s">
        <x:v>88</x:v>
      </x:c>
      <x:c r="AM7" s="17" t="s">
        <x:v>89</x:v>
      </x:c>
      <x:c r="AN7" s="11"/>
      <x:c r="AO7" s="11"/>
    </x:row>
    <x:row r="8" ht="15">
      <x:c r="A8" s="266" t="s">
        <x:v>90</x:v>
      </x:c>
      <x:c r="B8" s="267"/>
      <x:c r="C8" s="243"/>
      <x:c r="D8" s="243"/>
      <x:c r="E8" s="243"/>
      <x:c r="F8" s="243"/>
      <x:c r="G8" s="268"/>
      <x:c r="H8" s="269"/>
      <x:c r="I8" s="269"/>
      <x:c r="J8" s="269"/>
      <x:c r="K8" s="269"/>
      <x:c r="L8" s="269"/>
      <x:c r="M8" s="269"/>
      <x:c r="N8" s="269"/>
      <x:c r="O8" s="269"/>
      <x:c r="P8" s="269"/>
      <x:c r="Q8" s="269"/>
      <x:c r="R8" s="269"/>
      <x:c r="S8" s="269"/>
      <x:c r="T8" s="269"/>
      <x:c r="U8" s="269"/>
      <x:c r="V8" s="269"/>
      <x:c r="W8" s="269"/>
      <x:c r="X8" s="269"/>
      <x:c r="Y8" s="269"/>
      <x:c r="Z8" s="269"/>
      <x:c r="AA8" s="269"/>
      <x:c r="AB8" s="269"/>
      <x:c r="AC8" s="269"/>
      <x:c r="AD8" s="269"/>
      <x:c r="AE8" s="269"/>
      <x:c r="AF8" s="269"/>
      <x:c r="AG8" s="269"/>
      <x:c r="AH8" s="269"/>
      <x:c r="AI8" s="269"/>
      <x:c r="AJ8" s="269"/>
      <x:c r="AK8" s="269"/>
      <x:c r="AL8" s="269"/>
      <x:c r="AM8" s="269"/>
      <x:c r="AN8" s="230"/>
      <x:c r="AO8" s="230"/>
    </x:row>
    <x:row r="9" ht="20" customHeight="1">
      <x:c r="A9" s="18" t="s">
        <x:v>91</x:v>
      </x:c>
      <x:c r="B9" s="18" t="s">
        <x:v>92</x:v>
      </x:c>
      <x:c r="C9" s="20">
        <x:v>1</x:v>
      </x:c>
      <x:c r="D9" s="13" t="s">
        <x:v>68</x:v>
      </x:c>
      <x:c r="E9" s="13" t="s">
        <x:v>93</x:v>
      </x:c>
      <x:c r="F9" s="13"/>
      <x:c r="G9" s="232" t="n">
        <x:v>46210</x:v>
      </x:c>
      <x:c r="H9" s="231"/>
      <x:c r="I9" s="231"/>
      <x:c r="J9" s="231"/>
      <x:c r="K9" s="231"/>
      <x:c r="L9" s="231"/>
      <x:c r="M9" s="231"/>
      <x:c r="N9" s="231"/>
      <x:c r="O9" s="231"/>
      <x:c r="P9" s="231"/>
      <x:c r="Q9" s="231"/>
      <x:c r="R9" s="231"/>
      <x:c r="S9" s="231"/>
      <x:c r="T9" s="231"/>
      <x:c r="U9" s="231"/>
      <x:c r="V9" s="231"/>
      <x:c r="W9" s="231"/>
      <x:c r="X9" s="231"/>
      <x:c r="Y9" s="231"/>
      <x:c r="Z9" s="231"/>
      <x:c r="AA9" s="231"/>
      <x:c r="AB9" s="231"/>
      <x:c r="AC9" s="231"/>
      <x:c r="AD9" s="231"/>
      <x:c r="AE9" s="231"/>
      <x:c r="AF9" s="231"/>
      <x:c r="AG9" s="231"/>
      <x:c r="AH9" s="231"/>
      <x:c r="AI9" s="231"/>
      <x:c r="AJ9" s="231"/>
      <x:c r="AK9" s="231"/>
      <x:c r="AL9" s="231"/>
      <x:c r="AM9" s="231"/>
      <x:c r="AN9" s="230"/>
      <x:c r="AO9" s="230"/>
    </x:row>
    <x:row r="10" ht="16">
      <x:c r="A10" s="18" t="s">
        <x:v>94</x:v>
      </x:c>
      <x:c r="B10" s="18" t="s">
        <x:v>95</x:v>
      </x:c>
      <x:c r="C10" s="20">
        <x:v>8</x:v>
      </x:c>
      <x:c r="D10" s="13" t="s">
        <x:v>65</x:v>
      </x:c>
      <x:c r="E10" s="13" t="s">
        <x:v>96</x:v>
      </x:c>
      <x:c r="F10" s="13"/>
      <x:c r="G10" s="232" t="n">
        <x:v>46211</x:v>
      </x:c>
      <x:c r="H10" s="231"/>
      <x:c r="I10" s="231"/>
      <x:c r="J10" s="231"/>
      <x:c r="K10" s="231"/>
      <x:c r="L10" s="231"/>
      <x:c r="M10" s="231"/>
      <x:c r="N10" s="231"/>
      <x:c r="O10" s="231"/>
      <x:c r="P10" s="231"/>
      <x:c r="Q10" s="231"/>
      <x:c r="R10" s="231"/>
      <x:c r="S10" s="231"/>
      <x:c r="T10" s="231"/>
      <x:c r="U10" s="231"/>
      <x:c r="V10" s="231"/>
      <x:c r="W10" s="231"/>
      <x:c r="X10" s="231"/>
      <x:c r="Y10" s="231"/>
      <x:c r="Z10" s="231"/>
      <x:c r="AA10" s="231"/>
      <x:c r="AB10" s="231"/>
      <x:c r="AC10" s="231"/>
      <x:c r="AD10" s="231"/>
      <x:c r="AE10" s="231"/>
      <x:c r="AF10" s="231"/>
      <x:c r="AG10" s="231"/>
      <x:c r="AH10" s="231"/>
      <x:c r="AI10" s="231"/>
      <x:c r="AJ10" s="231"/>
      <x:c r="AK10" s="231"/>
      <x:c r="AL10" s="231"/>
      <x:c r="AM10" s="231"/>
      <x:c r="AN10" s="230"/>
      <x:c r="AO10" s="230"/>
    </x:row>
    <x:row r="11" ht="16">
      <x:c r="A11" s="18" t="s">
        <x:v>97</x:v>
      </x:c>
      <x:c r="B11" s="18" t="s">
        <x:v>98</x:v>
      </x:c>
      <x:c r="C11" s="20">
        <x:v>8</x:v>
      </x:c>
      <x:c r="D11" s="13" t="s">
        <x:v>65</x:v>
      </x:c>
      <x:c r="E11" s="13" t="s">
        <x:v>99</x:v>
      </x:c>
      <x:c r="F11" s="13"/>
      <x:c r="G11" s="232" t="n">
        <x:v>46211</x:v>
      </x:c>
      <x:c r="H11" s="231"/>
      <x:c r="I11" s="231"/>
      <x:c r="J11" s="231"/>
      <x:c r="K11" s="231"/>
      <x:c r="L11" s="231"/>
      <x:c r="M11" s="231"/>
      <x:c r="N11" s="231"/>
      <x:c r="O11" s="231"/>
      <x:c r="P11" s="231"/>
      <x:c r="Q11" s="231"/>
      <x:c r="R11" s="231"/>
      <x:c r="S11" s="231"/>
      <x:c r="T11" s="231"/>
      <x:c r="U11" s="231"/>
      <x:c r="V11" s="231"/>
      <x:c r="W11" s="231"/>
      <x:c r="X11" s="231"/>
      <x:c r="Y11" s="231"/>
      <x:c r="Z11" s="231"/>
      <x:c r="AA11" s="231"/>
      <x:c r="AB11" s="231"/>
      <x:c r="AC11" s="231"/>
      <x:c r="AD11" s="231"/>
      <x:c r="AE11" s="231"/>
      <x:c r="AF11" s="231"/>
      <x:c r="AG11" s="231"/>
      <x:c r="AH11" s="231"/>
      <x:c r="AI11" s="231"/>
      <x:c r="AJ11" s="231"/>
      <x:c r="AK11" s="231"/>
      <x:c r="AL11" s="231"/>
      <x:c r="AM11" s="231"/>
      <x:c r="AN11" s="230"/>
      <x:c r="AO11" s="230"/>
    </x:row>
    <x:row r="12" ht="16">
      <x:c r="A12" s="18" t="s">
        <x:v>100</x:v>
      </x:c>
      <x:c r="B12" s="18" t="s">
        <x:v>101</x:v>
      </x:c>
      <x:c r="C12" s="20"/>
      <x:c r="D12" s="13"/>
      <x:c r="E12" s="13"/>
      <x:c r="F12" s="13"/>
      <x:c r="G12" s="232"/>
      <x:c r="H12" s="231"/>
      <x:c r="I12" s="231"/>
      <x:c r="J12" s="231"/>
      <x:c r="K12" s="231"/>
      <x:c r="L12" s="231"/>
      <x:c r="M12" s="231"/>
      <x:c r="N12" s="231"/>
      <x:c r="O12" s="231"/>
      <x:c r="P12" s="231"/>
      <x:c r="Q12" s="231"/>
      <x:c r="R12" s="231"/>
      <x:c r="S12" s="231"/>
      <x:c r="T12" s="231"/>
      <x:c r="U12" s="231"/>
      <x:c r="V12" s="231"/>
      <x:c r="W12" s="231"/>
      <x:c r="X12" s="231"/>
      <x:c r="Y12" s="231"/>
      <x:c r="Z12" s="231"/>
      <x:c r="AA12" s="231"/>
      <x:c r="AB12" s="231"/>
      <x:c r="AC12" s="231"/>
      <x:c r="AD12" s="231"/>
      <x:c r="AE12" s="231"/>
      <x:c r="AF12" s="231"/>
      <x:c r="AG12" s="231"/>
      <x:c r="AH12" s="231"/>
      <x:c r="AI12" s="231"/>
      <x:c r="AJ12" s="231"/>
      <x:c r="AK12" s="231"/>
      <x:c r="AL12" s="231"/>
      <x:c r="AM12" s="231"/>
      <x:c r="AN12" s="230"/>
      <x:c r="AO12" s="230"/>
    </x:row>
    <x:row r="13" ht="16">
      <x:c r="A13" s="18" t="s">
        <x:v>102</x:v>
      </x:c>
      <x:c r="B13" s="18" t="s">
        <x:v>103</x:v>
      </x:c>
      <x:c r="C13" s="20">
        <x:v>8</x:v>
      </x:c>
      <x:c r="D13" s="13" t="s">
        <x:v>65</x:v>
      </x:c>
      <x:c r="E13" s="13" t="s">
        <x:v>104</x:v>
      </x:c>
      <x:c r="F13" s="13"/>
      <x:c r="G13" s="232" t="n">
        <x:v>46212</x:v>
      </x:c>
      <x:c r="H13" s="231"/>
      <x:c r="I13" s="231"/>
      <x:c r="J13" s="231"/>
      <x:c r="K13" s="231"/>
      <x:c r="L13" s="231"/>
      <x:c r="M13" s="231"/>
      <x:c r="N13" s="231"/>
      <x:c r="O13" s="231"/>
      <x:c r="P13" s="231"/>
      <x:c r="Q13" s="231"/>
      <x:c r="R13" s="231"/>
      <x:c r="S13" s="231"/>
      <x:c r="T13" s="231"/>
      <x:c r="U13" s="231"/>
      <x:c r="V13" s="231"/>
      <x:c r="W13" s="231"/>
      <x:c r="X13" s="231"/>
      <x:c r="Y13" s="231"/>
      <x:c r="Z13" s="231"/>
      <x:c r="AA13" s="231"/>
      <x:c r="AB13" s="231"/>
      <x:c r="AC13" s="231"/>
      <x:c r="AD13" s="231"/>
      <x:c r="AE13" s="231"/>
      <x:c r="AF13" s="231"/>
      <x:c r="AG13" s="231"/>
      <x:c r="AH13" s="231"/>
      <x:c r="AI13" s="231"/>
      <x:c r="AJ13" s="231"/>
      <x:c r="AK13" s="231"/>
      <x:c r="AL13" s="231"/>
      <x:c r="AM13" s="231"/>
      <x:c r="AN13" s="230"/>
      <x:c r="AO13" s="230"/>
    </x:row>
    <x:row r="14" ht="16">
      <x:c r="A14" s="18" t="s">
        <x:v>105</x:v>
      </x:c>
      <x:c r="B14" s="18" t="s">
        <x:v>106</x:v>
      </x:c>
      <x:c r="C14" s="20">
        <x:v>14</x:v>
      </x:c>
      <x:c r="D14" s="13" t="s">
        <x:v>67</x:v>
      </x:c>
      <x:c r="E14" s="13" t="s">
        <x:v>107</x:v>
      </x:c>
      <x:c r="F14" s="13"/>
      <x:c r="G14" s="232" t="n">
        <x:v>46214</x:v>
      </x:c>
      <x:c r="H14" s="231"/>
      <x:c r="I14" s="231"/>
      <x:c r="J14" s="231"/>
      <x:c r="K14" s="231"/>
      <x:c r="L14" s="231"/>
      <x:c r="M14" s="231"/>
      <x:c r="N14" s="231"/>
      <x:c r="O14" s="231"/>
      <x:c r="P14" s="231"/>
      <x:c r="Q14" s="231"/>
      <x:c r="R14" s="231"/>
      <x:c r="S14" s="231"/>
      <x:c r="T14" s="231"/>
      <x:c r="U14" s="231"/>
      <x:c r="V14" s="231"/>
      <x:c r="W14" s="231"/>
      <x:c r="X14" s="231"/>
      <x:c r="Y14" s="231"/>
      <x:c r="Z14" s="231"/>
      <x:c r="AA14" s="231"/>
      <x:c r="AB14" s="231"/>
      <x:c r="AC14" s="231"/>
      <x:c r="AD14" s="231"/>
      <x:c r="AE14" s="231"/>
      <x:c r="AF14" s="231"/>
      <x:c r="AG14" s="231"/>
      <x:c r="AH14" s="231"/>
      <x:c r="AI14" s="231"/>
      <x:c r="AJ14" s="231"/>
      <x:c r="AK14" s="231"/>
      <x:c r="AL14" s="231"/>
      <x:c r="AM14" s="231"/>
      <x:c r="AN14" s="230"/>
      <x:c r="AO14" s="230"/>
    </x:row>
    <x:row r="15" ht="16">
      <x:c r="A15" s="18" t="s">
        <x:v>108</x:v>
      </x:c>
      <x:c r="B15" s="18" t="s">
        <x:v>109</x:v>
      </x:c>
      <x:c r="C15" s="20"/>
      <x:c r="D15" s="13"/>
      <x:c r="E15" s="13"/>
      <x:c r="F15" s="13"/>
      <x:c r="G15" s="232"/>
      <x:c r="H15" s="231"/>
      <x:c r="I15" s="231"/>
      <x:c r="J15" s="231"/>
      <x:c r="K15" s="231"/>
      <x:c r="L15" s="231"/>
      <x:c r="M15" s="231"/>
      <x:c r="N15" s="231"/>
      <x:c r="O15" s="231"/>
      <x:c r="P15" s="231"/>
      <x:c r="Q15" s="231"/>
      <x:c r="R15" s="231"/>
      <x:c r="S15" s="231"/>
      <x:c r="T15" s="231"/>
      <x:c r="U15" s="231"/>
      <x:c r="V15" s="231"/>
      <x:c r="W15" s="231"/>
      <x:c r="X15" s="231"/>
      <x:c r="Y15" s="231"/>
      <x:c r="Z15" s="231"/>
      <x:c r="AA15" s="231"/>
      <x:c r="AB15" s="231"/>
      <x:c r="AC15" s="231"/>
      <x:c r="AD15" s="231"/>
      <x:c r="AE15" s="231"/>
      <x:c r="AF15" s="231"/>
      <x:c r="AG15" s="231"/>
      <x:c r="AH15" s="231"/>
      <x:c r="AI15" s="231"/>
      <x:c r="AJ15" s="231"/>
      <x:c r="AK15" s="231"/>
      <x:c r="AL15" s="231"/>
      <x:c r="AM15" s="231"/>
      <x:c r="AN15" s="230"/>
      <x:c r="AO15" s="230"/>
    </x:row>
    <x:row r="16" ht="15">
      <x:c r="A16" s="266" t="s">
        <x:v>110</x:v>
      </x:c>
      <x:c r="B16" s="267" t="s">
        <x:v>111</x:v>
      </x:c>
      <x:c r="C16" s="243">
        <x:v>14</x:v>
      </x:c>
      <x:c r="D16" s="243" t="s">
        <x:v>67</x:v>
      </x:c>
      <x:c r="E16" s="243" t="s">
        <x:v>107</x:v>
      </x:c>
      <x:c r="F16" s="243"/>
      <x:c r="G16" s="268" t="n">
        <x:v>46215</x:v>
      </x:c>
      <x:c r="H16" s="269"/>
      <x:c r="I16" s="269"/>
      <x:c r="J16" s="269"/>
      <x:c r="K16" s="269"/>
      <x:c r="L16" s="269"/>
      <x:c r="M16" s="269"/>
      <x:c r="N16" s="269"/>
      <x:c r="O16" s="269"/>
      <x:c r="P16" s="269"/>
      <x:c r="Q16" s="269"/>
      <x:c r="R16" s="269"/>
      <x:c r="S16" s="269"/>
      <x:c r="T16" s="269"/>
      <x:c r="U16" s="269"/>
      <x:c r="V16" s="269"/>
      <x:c r="W16" s="269"/>
      <x:c r="X16" s="269"/>
      <x:c r="Y16" s="269"/>
      <x:c r="Z16" s="269"/>
      <x:c r="AA16" s="269"/>
      <x:c r="AB16" s="269"/>
      <x:c r="AC16" s="269"/>
      <x:c r="AD16" s="269"/>
      <x:c r="AE16" s="269"/>
      <x:c r="AF16" s="269"/>
      <x:c r="AG16" s="269"/>
      <x:c r="AH16" s="269"/>
      <x:c r="AI16" s="269"/>
      <x:c r="AJ16" s="269"/>
      <x:c r="AK16" s="269"/>
      <x:c r="AL16" s="269"/>
      <x:c r="AM16" s="269"/>
      <x:c r="AN16" s="230"/>
      <x:c r="AO16" s="230"/>
    </x:row>
    <x:row r="17" ht="16">
      <x:c r="A17" s="18" t="s">
        <x:v>112</x:v>
      </x:c>
      <x:c r="B17" s="18" t="s">
        <x:v>113</x:v>
      </x:c>
      <x:c r="C17" s="20">
        <x:v>10</x:v>
      </x:c>
      <x:c r="D17" s="13" t="s">
        <x:v>67</x:v>
      </x:c>
      <x:c r="E17" s="13" t="s">
        <x:v>104</x:v>
      </x:c>
      <x:c r="F17" s="13"/>
      <x:c r="G17" s="232" t="n">
        <x:v>46216</x:v>
      </x:c>
      <x:c r="H17" s="231"/>
      <x:c r="I17" s="231"/>
      <x:c r="J17" s="231"/>
      <x:c r="K17" s="231"/>
      <x:c r="L17" s="231"/>
      <x:c r="M17" s="231"/>
      <x:c r="N17" s="231"/>
      <x:c r="O17" s="231"/>
      <x:c r="P17" s="231"/>
      <x:c r="Q17" s="231"/>
      <x:c r="R17" s="231"/>
      <x:c r="S17" s="231"/>
      <x:c r="T17" s="231"/>
      <x:c r="U17" s="231"/>
      <x:c r="V17" s="231"/>
      <x:c r="W17" s="231"/>
      <x:c r="X17" s="231"/>
      <x:c r="Y17" s="231"/>
      <x:c r="Z17" s="231"/>
      <x:c r="AA17" s="231"/>
      <x:c r="AB17" s="231"/>
      <x:c r="AC17" s="231"/>
      <x:c r="AD17" s="231"/>
      <x:c r="AE17" s="231"/>
      <x:c r="AF17" s="231"/>
      <x:c r="AG17" s="231"/>
      <x:c r="AH17" s="231"/>
      <x:c r="AI17" s="231"/>
      <x:c r="AJ17" s="231"/>
      <x:c r="AK17" s="231"/>
      <x:c r="AL17" s="231"/>
      <x:c r="AM17" s="231"/>
      <x:c r="AN17" s="230"/>
      <x:c r="AO17" s="230"/>
    </x:row>
    <x:row r="18" ht="16">
      <x:c r="A18" s="18" t="s">
        <x:v>114</x:v>
      </x:c>
      <x:c r="B18" s="18" t="s">
        <x:v>115</x:v>
      </x:c>
      <x:c r="C18" s="20">
        <x:v>10</x:v>
      </x:c>
      <x:c r="D18" s="13" t="s">
        <x:v>67</x:v>
      </x:c>
      <x:c r="E18" s="13" t="s">
        <x:v>107</x:v>
      </x:c>
      <x:c r="F18" s="13"/>
      <x:c r="G18" s="232" t="n">
        <x:v>46216</x:v>
      </x:c>
      <x:c r="H18" s="231"/>
      <x:c r="I18" s="231"/>
      <x:c r="J18" s="231"/>
      <x:c r="K18" s="231"/>
      <x:c r="L18" s="231"/>
      <x:c r="M18" s="231"/>
      <x:c r="N18" s="231"/>
      <x:c r="O18" s="231"/>
      <x:c r="P18" s="231"/>
      <x:c r="Q18" s="231"/>
      <x:c r="R18" s="231"/>
      <x:c r="S18" s="231"/>
      <x:c r="T18" s="231"/>
      <x:c r="U18" s="231"/>
      <x:c r="V18" s="231"/>
      <x:c r="W18" s="231"/>
      <x:c r="X18" s="231"/>
      <x:c r="Y18" s="231"/>
      <x:c r="Z18" s="231"/>
      <x:c r="AA18" s="231"/>
      <x:c r="AB18" s="231"/>
      <x:c r="AC18" s="231"/>
      <x:c r="AD18" s="231"/>
      <x:c r="AE18" s="231"/>
      <x:c r="AF18" s="231"/>
      <x:c r="AG18" s="231"/>
      <x:c r="AH18" s="231"/>
      <x:c r="AI18" s="231"/>
      <x:c r="AJ18" s="231"/>
      <x:c r="AK18" s="231"/>
      <x:c r="AL18" s="231"/>
      <x:c r="AM18" s="231"/>
      <x:c r="AN18" s="230"/>
      <x:c r="AO18" s="230"/>
    </x:row>
    <x:row r="19" ht="16">
      <x:c r="A19" s="18" t="s">
        <x:v>116</x:v>
      </x:c>
      <x:c r="B19" s="18" t="s">
        <x:v>117</x:v>
      </x:c>
      <x:c r="C19" s="20"/>
      <x:c r="D19" s="13"/>
      <x:c r="E19" s="13"/>
      <x:c r="F19" s="13"/>
      <x:c r="G19" s="232"/>
      <x:c r="H19" s="231"/>
      <x:c r="I19" s="231"/>
      <x:c r="J19" s="231"/>
      <x:c r="K19" s="231"/>
      <x:c r="L19" s="231"/>
      <x:c r="M19" s="231"/>
      <x:c r="N19" s="231"/>
      <x:c r="O19" s="231"/>
      <x:c r="P19" s="231"/>
      <x:c r="Q19" s="231"/>
      <x:c r="R19" s="231"/>
      <x:c r="S19" s="231"/>
      <x:c r="T19" s="231"/>
      <x:c r="U19" s="231"/>
      <x:c r="V19" s="231"/>
      <x:c r="W19" s="231"/>
      <x:c r="X19" s="231"/>
      <x:c r="Y19" s="231"/>
      <x:c r="Z19" s="231"/>
      <x:c r="AA19" s="231"/>
      <x:c r="AB19" s="231"/>
      <x:c r="AC19" s="231"/>
      <x:c r="AD19" s="231"/>
      <x:c r="AE19" s="231"/>
      <x:c r="AF19" s="231"/>
      <x:c r="AG19" s="231"/>
      <x:c r="AH19" s="231"/>
      <x:c r="AI19" s="231"/>
      <x:c r="AJ19" s="231"/>
      <x:c r="AK19" s="231"/>
      <x:c r="AL19" s="231"/>
      <x:c r="AM19" s="231"/>
      <x:c r="AN19" s="230"/>
      <x:c r="AO19" s="230"/>
    </x:row>
    <x:row r="20" ht="16">
      <x:c r="A20" s="18" t="s">
        <x:v>118</x:v>
      </x:c>
      <x:c r="B20" s="18" t="s">
        <x:v>119</x:v>
      </x:c>
      <x:c r="C20" s="20">
        <x:v>6</x:v>
      </x:c>
      <x:c r="D20" s="13" t="s">
        <x:v>67</x:v>
      </x:c>
      <x:c r="E20" s="13" t="s">
        <x:v>104</x:v>
      </x:c>
      <x:c r="F20" s="13"/>
      <x:c r="G20" s="232" t="n">
        <x:v>46217</x:v>
      </x:c>
      <x:c r="H20" s="231"/>
      <x:c r="I20" s="231"/>
      <x:c r="J20" s="231"/>
      <x:c r="K20" s="231"/>
      <x:c r="L20" s="231"/>
      <x:c r="M20" s="231"/>
      <x:c r="N20" s="231"/>
      <x:c r="O20" s="231"/>
      <x:c r="P20" s="231"/>
      <x:c r="Q20" s="231"/>
      <x:c r="R20" s="231"/>
      <x:c r="S20" s="231"/>
      <x:c r="T20" s="231"/>
      <x:c r="U20" s="231"/>
      <x:c r="V20" s="231"/>
      <x:c r="W20" s="231"/>
      <x:c r="X20" s="231"/>
      <x:c r="Y20" s="231"/>
      <x:c r="Z20" s="231"/>
      <x:c r="AA20" s="231"/>
      <x:c r="AB20" s="231"/>
      <x:c r="AC20" s="231"/>
      <x:c r="AD20" s="231"/>
      <x:c r="AE20" s="231"/>
      <x:c r="AF20" s="231"/>
      <x:c r="AG20" s="231"/>
      <x:c r="AH20" s="231"/>
      <x:c r="AI20" s="231"/>
      <x:c r="AJ20" s="231"/>
      <x:c r="AK20" s="231"/>
      <x:c r="AL20" s="231"/>
      <x:c r="AM20" s="231"/>
      <x:c r="AN20" s="230"/>
      <x:c r="AO20" s="230"/>
    </x:row>
    <x:row r="21" ht="21" customHeight="1">
      <x:c r="A21" s="18" t="s">
        <x:v>120</x:v>
      </x:c>
      <x:c r="B21" s="18" t="s">
        <x:v>121</x:v>
      </x:c>
      <x:c r="C21" s="20">
        <x:v>10</x:v>
      </x:c>
      <x:c r="D21" s="13" t="s">
        <x:v>67</x:v>
      </x:c>
      <x:c r="E21" s="13" t="s">
        <x:v>107</x:v>
      </x:c>
      <x:c r="F21" s="13"/>
      <x:c r="G21" s="232" t="n">
        <x:v>46217</x:v>
      </x:c>
      <x:c r="H21" s="231"/>
      <x:c r="I21" s="231"/>
      <x:c r="J21" s="231"/>
      <x:c r="K21" s="231"/>
      <x:c r="L21" s="231"/>
      <x:c r="M21" s="231"/>
      <x:c r="N21" s="231"/>
      <x:c r="O21" s="231"/>
      <x:c r="P21" s="231"/>
      <x:c r="Q21" s="231"/>
      <x:c r="R21" s="231"/>
      <x:c r="S21" s="231"/>
      <x:c r="T21" s="231"/>
      <x:c r="U21" s="231"/>
      <x:c r="V21" s="231"/>
      <x:c r="W21" s="231"/>
      <x:c r="X21" s="231"/>
      <x:c r="Y21" s="231"/>
      <x:c r="Z21" s="231"/>
      <x:c r="AA21" s="231"/>
      <x:c r="AB21" s="231"/>
      <x:c r="AC21" s="231"/>
      <x:c r="AD21" s="231"/>
      <x:c r="AE21" s="231"/>
      <x:c r="AF21" s="231"/>
      <x:c r="AG21" s="231"/>
      <x:c r="AH21" s="231"/>
      <x:c r="AI21" s="231"/>
      <x:c r="AJ21" s="231"/>
      <x:c r="AK21" s="231"/>
      <x:c r="AL21" s="231"/>
      <x:c r="AM21" s="231"/>
      <x:c r="AN21" s="230"/>
      <x:c r="AO21" s="230"/>
    </x:row>
    <x:row r="22" ht="20" customHeight="1">
      <x:c r="A22" s="266" t="s">
        <x:v>122</x:v>
      </x:c>
      <x:c r="B22" s="267" t="s">
        <x:v>123</x:v>
      </x:c>
      <x:c r="C22" s="243">
        <x:v>6</x:v>
      </x:c>
      <x:c r="D22" s="243" t="s">
        <x:v>67</x:v>
      </x:c>
      <x:c r="E22" s="243" t="s">
        <x:v>107</x:v>
      </x:c>
      <x:c r="F22" s="243"/>
      <x:c r="G22" s="268" t="n">
        <x:v>46218</x:v>
      </x:c>
      <x:c r="H22" s="269"/>
      <x:c r="I22" s="269"/>
      <x:c r="J22" s="269"/>
      <x:c r="K22" s="269"/>
      <x:c r="L22" s="269"/>
      <x:c r="M22" s="269"/>
      <x:c r="N22" s="269"/>
      <x:c r="O22" s="269"/>
      <x:c r="P22" s="269"/>
      <x:c r="Q22" s="269"/>
      <x:c r="R22" s="269"/>
      <x:c r="S22" s="269"/>
      <x:c r="T22" s="269"/>
      <x:c r="U22" s="269"/>
      <x:c r="V22" s="269"/>
      <x:c r="W22" s="269"/>
      <x:c r="X22" s="269"/>
      <x:c r="Y22" s="269"/>
      <x:c r="Z22" s="269"/>
      <x:c r="AA22" s="269"/>
      <x:c r="AB22" s="269"/>
      <x:c r="AC22" s="269"/>
      <x:c r="AD22" s="269"/>
      <x:c r="AE22" s="269"/>
      <x:c r="AF22" s="269"/>
      <x:c r="AG22" s="269"/>
      <x:c r="AH22" s="269"/>
      <x:c r="AI22" s="269"/>
      <x:c r="AJ22" s="269"/>
      <x:c r="AK22" s="269"/>
      <x:c r="AL22" s="269"/>
      <x:c r="AM22" s="269"/>
      <x:c r="AN22" s="230"/>
      <x:c r="AO22" s="230"/>
    </x:row>
    <x:row r="23" ht="42" customHeight="1">
      <x:c r="A23" s="18" t="s">
        <x:v>124</x:v>
      </x:c>
      <x:c r="B23" s="18" t="s">
        <x:v>125</x:v>
      </x:c>
      <x:c r="C23" s="20"/>
      <x:c r="D23" s="13"/>
      <x:c r="E23" s="13"/>
      <x:c r="F23" s="13"/>
      <x:c r="G23" s="232"/>
      <x:c r="H23" s="231"/>
      <x:c r="I23" s="231"/>
      <x:c r="J23" s="231"/>
      <x:c r="K23" s="231"/>
      <x:c r="L23" s="231"/>
      <x:c r="M23" s="231"/>
      <x:c r="N23" s="231"/>
      <x:c r="O23" s="231"/>
      <x:c r="P23" s="231"/>
      <x:c r="Q23" s="231"/>
      <x:c r="R23" s="231"/>
      <x:c r="S23" s="231"/>
      <x:c r="T23" s="231"/>
      <x:c r="U23" s="231"/>
      <x:c r="V23" s="231"/>
      <x:c r="W23" s="231"/>
      <x:c r="X23" s="231"/>
      <x:c r="Y23" s="231"/>
      <x:c r="Z23" s="231"/>
      <x:c r="AA23" s="231"/>
      <x:c r="AB23" s="231"/>
      <x:c r="AC23" s="231"/>
      <x:c r="AD23" s="231"/>
      <x:c r="AE23" s="231"/>
      <x:c r="AF23" s="231"/>
      <x:c r="AG23" s="231"/>
      <x:c r="AH23" s="231"/>
      <x:c r="AI23" s="231"/>
      <x:c r="AJ23" s="231"/>
      <x:c r="AK23" s="231"/>
      <x:c r="AL23" s="231"/>
      <x:c r="AM23" s="231"/>
      <x:c r="AN23" s="230"/>
      <x:c r="AO23" s="230"/>
    </x:row>
    <x:row r="24" ht="21" customHeight="1">
      <x:c r="A24" s="18" t="s">
        <x:v>126</x:v>
      </x:c>
      <x:c r="B24" s="18" t="s">
        <x:v>127</x:v>
      </x:c>
      <x:c r="C24" s="20">
        <x:v>9</x:v>
      </x:c>
      <x:c r="D24" s="13" t="s">
        <x:v>67</x:v>
      </x:c>
      <x:c r="E24" s="13" t="s">
        <x:v>107</x:v>
      </x:c>
      <x:c r="F24" s="13"/>
      <x:c r="G24" s="232" t="n">
        <x:v>46219</x:v>
      </x:c>
      <x:c r="H24" s="231"/>
      <x:c r="I24" s="231"/>
      <x:c r="J24" s="231"/>
      <x:c r="K24" s="231"/>
      <x:c r="L24" s="231"/>
      <x:c r="M24" s="231"/>
      <x:c r="N24" s="231"/>
      <x:c r="O24" s="231"/>
      <x:c r="P24" s="231"/>
      <x:c r="Q24" s="231"/>
      <x:c r="R24" s="231"/>
      <x:c r="S24" s="231"/>
      <x:c r="T24" s="231"/>
      <x:c r="U24" s="231"/>
      <x:c r="V24" s="231"/>
      <x:c r="W24" s="231"/>
      <x:c r="X24" s="231"/>
      <x:c r="Y24" s="231"/>
      <x:c r="Z24" s="231"/>
      <x:c r="AA24" s="231"/>
      <x:c r="AB24" s="231"/>
      <x:c r="AC24" s="231"/>
      <x:c r="AD24" s="231"/>
      <x:c r="AE24" s="231"/>
      <x:c r="AF24" s="231"/>
      <x:c r="AG24" s="231"/>
      <x:c r="AH24" s="231"/>
      <x:c r="AI24" s="231"/>
      <x:c r="AJ24" s="231"/>
      <x:c r="AK24" s="231"/>
      <x:c r="AL24" s="231"/>
      <x:c r="AM24" s="231"/>
      <x:c r="AN24" s="230"/>
      <x:c r="AO24" s="230"/>
    </x:row>
    <x:row r="25" ht="24" customHeight="1">
      <x:c r="A25" s="18" t="s">
        <x:v>128</x:v>
      </x:c>
      <x:c r="B25" s="18" t="s">
        <x:v>129</x:v>
      </x:c>
      <x:c r="C25" s="20">
        <x:v>8</x:v>
      </x:c>
      <x:c r="D25" s="13" t="s">
        <x:v>67</x:v>
      </x:c>
      <x:c r="E25" s="13" t="s">
        <x:v>104</x:v>
      </x:c>
      <x:c r="F25" s="13"/>
      <x:c r="G25" s="232" t="n">
        <x:v>46219</x:v>
      </x:c>
      <x:c r="H25" s="231"/>
      <x:c r="I25" s="231"/>
      <x:c r="J25" s="231"/>
      <x:c r="K25" s="231"/>
      <x:c r="L25" s="231"/>
      <x:c r="M25" s="231"/>
      <x:c r="N25" s="231"/>
      <x:c r="O25" s="231"/>
      <x:c r="P25" s="231"/>
      <x:c r="Q25" s="231"/>
      <x:c r="R25" s="231"/>
      <x:c r="S25" s="231"/>
      <x:c r="T25" s="231"/>
      <x:c r="U25" s="231"/>
      <x:c r="V25" s="231"/>
      <x:c r="W25" s="231"/>
      <x:c r="X25" s="231"/>
      <x:c r="Y25" s="231"/>
      <x:c r="Z25" s="231"/>
      <x:c r="AA25" s="231"/>
      <x:c r="AB25" s="231"/>
      <x:c r="AC25" s="231"/>
      <x:c r="AD25" s="231"/>
      <x:c r="AE25" s="231"/>
      <x:c r="AF25" s="231"/>
      <x:c r="AG25" s="231"/>
      <x:c r="AH25" s="231"/>
      <x:c r="AI25" s="231"/>
      <x:c r="AJ25" s="231"/>
      <x:c r="AK25" s="231"/>
      <x:c r="AL25" s="231"/>
      <x:c r="AM25" s="231"/>
      <x:c r="AN25" s="230"/>
      <x:c r="AO25" s="230"/>
    </x:row>
    <x:row r="26" ht="26" customHeight="1">
      <x:c r="A26" s="18" t="s">
        <x:v>130</x:v>
      </x:c>
      <x:c r="B26" s="18" t="s">
        <x:v>131</x:v>
      </x:c>
      <x:c r="C26" s="20">
        <x:v>6</x:v>
      </x:c>
      <x:c r="D26" s="13" t="s">
        <x:v>67</x:v>
      </x:c>
      <x:c r="E26" s="13" t="s">
        <x:v>107</x:v>
      </x:c>
      <x:c r="F26" s="13"/>
      <x:c r="G26" s="232" t="n">
        <x:v>46219</x:v>
      </x:c>
      <x:c r="H26" s="231"/>
      <x:c r="I26" s="231"/>
      <x:c r="J26" s="231"/>
      <x:c r="K26" s="231"/>
      <x:c r="L26" s="231"/>
      <x:c r="M26" s="231"/>
      <x:c r="N26" s="231"/>
      <x:c r="O26" s="231"/>
      <x:c r="P26" s="231"/>
      <x:c r="Q26" s="231"/>
      <x:c r="R26" s="231"/>
      <x:c r="S26" s="231"/>
      <x:c r="T26" s="231"/>
      <x:c r="U26" s="231"/>
      <x:c r="V26" s="231"/>
      <x:c r="W26" s="231"/>
      <x:c r="X26" s="231"/>
      <x:c r="Y26" s="231"/>
      <x:c r="Z26" s="231"/>
      <x:c r="AA26" s="231"/>
      <x:c r="AB26" s="231"/>
      <x:c r="AC26" s="231"/>
      <x:c r="AD26" s="231"/>
      <x:c r="AE26" s="231"/>
      <x:c r="AF26" s="231"/>
      <x:c r="AG26" s="231"/>
      <x:c r="AH26" s="231"/>
      <x:c r="AI26" s="231"/>
      <x:c r="AJ26" s="231"/>
      <x:c r="AK26" s="231"/>
      <x:c r="AL26" s="231"/>
      <x:c r="AM26" s="231"/>
      <x:c r="AN26" s="230"/>
      <x:c r="AO26" s="230"/>
    </x:row>
    <x:row r="27" ht="27" customHeight="1">
      <x:c r="A27" s="18" t="s">
        <x:v>132</x:v>
      </x:c>
      <x:c r="B27" s="233" t="s">
        <x:v>133</x:v>
      </x:c>
      <x:c r="C27" s="22"/>
      <x:c r="D27" s="13"/>
      <x:c r="E27" s="13"/>
      <x:c r="F27" s="13"/>
      <x:c r="G27" s="232"/>
      <x:c r="H27" s="231"/>
      <x:c r="I27" s="231"/>
      <x:c r="J27" s="231"/>
      <x:c r="K27" s="231"/>
      <x:c r="L27" s="231"/>
      <x:c r="M27" s="231"/>
      <x:c r="N27" s="231"/>
      <x:c r="O27" s="231"/>
      <x:c r="P27" s="231"/>
      <x:c r="Q27" s="231"/>
      <x:c r="R27" s="231"/>
      <x:c r="S27" s="231"/>
      <x:c r="T27" s="231"/>
      <x:c r="U27" s="231"/>
      <x:c r="V27" s="231"/>
      <x:c r="W27" s="231"/>
      <x:c r="X27" s="231"/>
      <x:c r="Y27" s="231"/>
      <x:c r="Z27" s="231"/>
      <x:c r="AA27" s="231"/>
      <x:c r="AB27" s="231"/>
      <x:c r="AC27" s="231"/>
      <x:c r="AD27" s="231"/>
      <x:c r="AE27" s="231"/>
      <x:c r="AF27" s="231"/>
      <x:c r="AG27" s="231"/>
      <x:c r="AH27" s="231"/>
      <x:c r="AI27" s="231"/>
      <x:c r="AJ27" s="231"/>
      <x:c r="AK27" s="231"/>
      <x:c r="AL27" s="231"/>
      <x:c r="AM27" s="231"/>
      <x:c r="AN27" s="230"/>
      <x:c r="AO27" s="230"/>
    </x:row>
    <x:row r="28" ht="21" customHeight="1">
      <x:c r="A28" s="266" t="s">
        <x:v>134</x:v>
      </x:c>
      <x:c r="B28" s="267" t="s">
        <x:v>135</x:v>
      </x:c>
      <x:c r="C28" s="243">
        <x:v>8</x:v>
      </x:c>
      <x:c r="D28" s="243" t="s">
        <x:v>67</x:v>
      </x:c>
      <x:c r="E28" s="243" t="s">
        <x:v>136</x:v>
      </x:c>
      <x:c r="F28" s="243"/>
      <x:c r="G28" s="268" t="n">
        <x:v>46220</x:v>
      </x:c>
      <x:c r="H28" s="269"/>
      <x:c r="I28" s="269"/>
      <x:c r="J28" s="269"/>
      <x:c r="K28" s="269"/>
      <x:c r="L28" s="269"/>
      <x:c r="M28" s="269"/>
      <x:c r="N28" s="269"/>
      <x:c r="O28" s="269"/>
      <x:c r="P28" s="269"/>
      <x:c r="Q28" s="269"/>
      <x:c r="R28" s="269"/>
      <x:c r="S28" s="269"/>
      <x:c r="T28" s="269"/>
      <x:c r="U28" s="269"/>
      <x:c r="V28" s="269"/>
      <x:c r="W28" s="269"/>
      <x:c r="X28" s="269"/>
      <x:c r="Y28" s="269"/>
      <x:c r="Z28" s="269"/>
      <x:c r="AA28" s="269"/>
      <x:c r="AB28" s="269"/>
      <x:c r="AC28" s="269"/>
      <x:c r="AD28" s="269"/>
      <x:c r="AE28" s="269"/>
      <x:c r="AF28" s="269"/>
      <x:c r="AG28" s="269"/>
      <x:c r="AH28" s="269"/>
      <x:c r="AI28" s="269"/>
      <x:c r="AJ28" s="269"/>
      <x:c r="AK28" s="269"/>
      <x:c r="AL28" s="269"/>
      <x:c r="AM28" s="269"/>
      <x:c r="AN28" s="230"/>
      <x:c r="AO28" s="230"/>
    </x:row>
    <x:row r="29" ht="21" customHeight="1">
      <x:c r="A29" s="18" t="s">
        <x:v>137</x:v>
      </x:c>
      <x:c r="B29" s="18" t="s">
        <x:v>138</x:v>
      </x:c>
      <x:c r="C29" s="20">
        <x:v>6</x:v>
      </x:c>
      <x:c r="D29" s="13" t="s">
        <x:v>67</x:v>
      </x:c>
      <x:c r="E29" s="13" t="s">
        <x:v>139</x:v>
      </x:c>
      <x:c r="F29" s="13"/>
      <x:c r="G29" s="232" t="n">
        <x:v>46221</x:v>
      </x:c>
      <x:c r="H29" s="231"/>
      <x:c r="I29" s="231"/>
      <x:c r="J29" s="231"/>
      <x:c r="K29" s="231"/>
      <x:c r="L29" s="231"/>
      <x:c r="M29" s="231"/>
      <x:c r="N29" s="231"/>
      <x:c r="O29" s="231"/>
      <x:c r="P29" s="231"/>
      <x:c r="Q29" s="231"/>
      <x:c r="R29" s="231"/>
      <x:c r="S29" s="231"/>
      <x:c r="T29" s="231"/>
      <x:c r="U29" s="231"/>
      <x:c r="V29" s="231"/>
      <x:c r="W29" s="231"/>
      <x:c r="X29" s="231"/>
      <x:c r="Y29" s="231"/>
      <x:c r="Z29" s="231"/>
      <x:c r="AA29" s="231"/>
      <x:c r="AB29" s="231"/>
      <x:c r="AC29" s="231"/>
      <x:c r="AD29" s="231"/>
      <x:c r="AE29" s="231"/>
      <x:c r="AF29" s="231"/>
      <x:c r="AG29" s="231"/>
      <x:c r="AH29" s="231"/>
      <x:c r="AI29" s="231"/>
      <x:c r="AJ29" s="231"/>
      <x:c r="AK29" s="231"/>
      <x:c r="AL29" s="231"/>
      <x:c r="AM29" s="231"/>
      <x:c r="AN29" s="230"/>
      <x:c r="AO29" s="230"/>
    </x:row>
    <x:row r="30" ht="21" customHeight="1">
      <x:c r="A30" s="18" t="s">
        <x:v>140</x:v>
      </x:c>
      <x:c r="B30" s="18" t="s">
        <x:v>141</x:v>
      </x:c>
      <x:c r="C30" s="20">
        <x:v>4</x:v>
      </x:c>
      <x:c r="D30" s="13" t="s">
        <x:v>67</x:v>
      </x:c>
      <x:c r="E30" s="13" t="s">
        <x:v>142</x:v>
      </x:c>
      <x:c r="F30" s="13"/>
      <x:c r="G30" s="232" t="n">
        <x:v>46221</x:v>
      </x:c>
      <x:c r="H30" s="231"/>
      <x:c r="I30" s="231"/>
      <x:c r="J30" s="231"/>
      <x:c r="K30" s="231"/>
      <x:c r="L30" s="231"/>
      <x:c r="M30" s="231"/>
      <x:c r="N30" s="231"/>
      <x:c r="O30" s="231"/>
      <x:c r="P30" s="231"/>
      <x:c r="Q30" s="231"/>
      <x:c r="R30" s="231"/>
      <x:c r="S30" s="231"/>
      <x:c r="T30" s="231"/>
      <x:c r="U30" s="231"/>
      <x:c r="V30" s="231"/>
      <x:c r="W30" s="231"/>
      <x:c r="X30" s="231"/>
      <x:c r="Y30" s="231"/>
      <x:c r="Z30" s="231"/>
      <x:c r="AA30" s="231"/>
      <x:c r="AB30" s="231"/>
      <x:c r="AC30" s="231"/>
      <x:c r="AD30" s="231"/>
      <x:c r="AE30" s="231"/>
      <x:c r="AF30" s="231"/>
      <x:c r="AG30" s="231"/>
      <x:c r="AH30" s="231"/>
      <x:c r="AI30" s="231"/>
      <x:c r="AJ30" s="231"/>
      <x:c r="AK30" s="231"/>
      <x:c r="AL30" s="231"/>
      <x:c r="AM30" s="231"/>
      <x:c r="AN30" s="230"/>
      <x:c r="AO30" s="230"/>
    </x:row>
    <x:row r="31" ht="21" customHeight="1">
      <x:c r="A31" s="18"/>
      <x:c r="B31" s="19"/>
      <x:c r="C31" s="20"/>
      <x:c r="D31" s="13"/>
      <x:c r="E31" s="13"/>
      <x:c r="F31" s="13"/>
      <x:c r="G31" s="21"/>
      <x:c r="H31" s="231"/>
      <x:c r="I31" s="231"/>
      <x:c r="J31" s="231"/>
      <x:c r="K31" s="231"/>
      <x:c r="L31" s="231"/>
      <x:c r="M31" s="231"/>
      <x:c r="N31" s="231"/>
      <x:c r="O31" s="231"/>
      <x:c r="P31" s="231"/>
      <x:c r="Q31" s="231"/>
      <x:c r="R31" s="231"/>
      <x:c r="S31" s="231"/>
      <x:c r="T31" s="231"/>
      <x:c r="U31" s="231"/>
      <x:c r="V31" s="231"/>
      <x:c r="W31" s="231"/>
      <x:c r="X31" s="231"/>
      <x:c r="Y31" s="231"/>
      <x:c r="Z31" s="231"/>
      <x:c r="AA31" s="231"/>
      <x:c r="AB31" s="231"/>
      <x:c r="AC31" s="231"/>
      <x:c r="AD31" s="231"/>
      <x:c r="AE31" s="231"/>
      <x:c r="AF31" s="231"/>
      <x:c r="AG31" s="231"/>
      <x:c r="AH31" s="231"/>
      <x:c r="AI31" s="231"/>
      <x:c r="AJ31" s="231"/>
      <x:c r="AK31" s="231"/>
      <x:c r="AL31" s="231"/>
      <x:c r="AM31" s="231"/>
      <x:c r="AN31" s="230"/>
      <x:c r="AO31" s="230"/>
    </x:row>
    <x:row r="32" ht="21" customHeight="1"/>
    <x:row r="33" ht="21" customHeight="1">
      <x:c r="A33" s="254"/>
      <x:c r="B33" s="254"/>
      <x:c r="C33" s="254"/>
      <x:c r="D33" s="254"/>
      <x:c r="E33" s="254"/>
      <x:c r="F33" s="254"/>
      <x:c r="G33" s="254"/>
      <x:c r="H33" s="254"/>
      <x:c r="I33" s="254"/>
      <x:c r="J33" s="254"/>
      <x:c r="K33" s="254"/>
      <x:c r="L33" s="254"/>
      <x:c r="M33" s="254"/>
      <x:c r="N33" s="254"/>
      <x:c r="O33" s="254"/>
      <x:c r="P33" s="254"/>
      <x:c r="Q33" s="254"/>
      <x:c r="R33" s="254"/>
      <x:c r="S33" s="254"/>
      <x:c r="T33" s="254"/>
      <x:c r="U33" s="254"/>
      <x:c r="V33" s="254"/>
      <x:c r="W33" s="254"/>
      <x:c r="X33" s="254"/>
      <x:c r="Y33" s="254"/>
      <x:c r="Z33" s="254"/>
      <x:c r="AA33" s="254"/>
      <x:c r="AB33" s="254"/>
      <x:c r="AC33" s="254"/>
      <x:c r="AD33" s="254"/>
      <x:c r="AE33" s="254"/>
      <x:c r="AF33" s="254"/>
      <x:c r="AG33" s="254"/>
      <x:c r="AH33" s="254"/>
      <x:c r="AI33" s="254"/>
      <x:c r="AJ33" s="254"/>
      <x:c r="AK33" s="254"/>
      <x:c r="AL33" s="254"/>
      <x:c r="AM33" s="254"/>
    </x:row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  <x:row r="121" ht="21" customHeight="1"/>
    <x:row r="122" ht="21" customHeight="1"/>
    <x:row r="123" ht="21" customHeight="1"/>
    <x:row r="124" ht="21" customHeight="1"/>
    <x:row r="125" ht="21" customHeight="1"/>
    <x:row r="126" ht="21" customHeight="1"/>
    <x:row r="127" ht="21" customHeight="1"/>
    <x:row r="128" ht="21" customHeight="1"/>
    <x:row r="129" ht="21" customHeight="1"/>
    <x:row r="130" ht="21" customHeight="1"/>
    <x:row r="131" ht="21" customHeight="1"/>
    <x:row r="132" ht="21" customHeight="1"/>
    <x:row r="133" ht="21" customHeight="1"/>
    <x:row r="134" ht="21" customHeight="1"/>
    <x:row r="135" ht="21" customHeight="1"/>
    <x:row r="136" ht="21" customHeight="1"/>
    <x:row r="137" ht="21" customHeight="1"/>
    <x:row r="138" ht="21" customHeight="1"/>
    <x:row r="139" ht="21" customHeight="1"/>
    <x:row r="140" ht="21" customHeight="1"/>
    <x:row r="141" ht="21" customHeight="1"/>
    <x:row r="142" ht="21" customHeight="1"/>
    <x:row r="143" ht="21" customHeight="1"/>
    <x:row r="144" ht="21" customHeight="1"/>
    <x:row r="145" ht="21" customHeight="1"/>
    <x:row r="146" ht="21" customHeight="1"/>
    <x:row r="147" ht="21" customHeight="1"/>
    <x:row r="148" ht="21" customHeight="1"/>
    <x:row r="149" ht="21" customHeight="1"/>
    <x:row r="150" ht="21" customHeight="1"/>
    <x:row r="151" ht="21" customHeight="1"/>
    <x:row r="152" ht="21" customHeight="1"/>
    <x:row r="153" ht="21" customHeight="1"/>
    <x:row r="154" ht="21" customHeight="1"/>
    <x:row r="155" ht="21" customHeight="1"/>
    <x:row r="156" ht="21" customHeight="1"/>
    <x:row r="157" ht="21" customHeight="1"/>
    <x:row r="158" ht="21" customHeight="1"/>
    <x:row r="159" ht="21" customHeight="1"/>
    <x:row r="160" ht="21" customHeight="1"/>
    <x:row r="161" ht="21" customHeight="1"/>
    <x:row r="162" ht="21" customHeight="1"/>
    <x:row r="163" ht="21" customHeight="1"/>
    <x:row r="164" ht="21" customHeight="1"/>
    <x:row r="165" ht="21" customHeight="1"/>
    <x:row r="166" ht="21" customHeight="1"/>
    <x:row r="167" ht="21" customHeight="1"/>
    <x:row r="168" ht="21" customHeight="1"/>
    <x:row r="169" ht="21" customHeight="1"/>
    <x:row r="170" ht="21" customHeight="1"/>
    <x:row r="171" ht="21" customHeight="1"/>
    <x:row r="172" ht="21" customHeight="1"/>
    <x:row r="173" ht="21" customHeight="1"/>
    <x:row r="174" ht="21" customHeight="1"/>
    <x:row r="175" ht="21" customHeight="1"/>
    <x:row r="176" ht="21" customHeight="1"/>
    <x:row r="177" ht="21" customHeight="1"/>
    <x:row r="178" ht="21" customHeight="1"/>
    <x:row r="179" ht="21" customHeight="1"/>
    <x:row r="180" ht="21" customHeight="1"/>
    <x:row r="181" ht="21" customHeight="1"/>
    <x:row r="182" ht="21" customHeight="1"/>
    <x:row r="183" ht="21" customHeight="1"/>
    <x:row r="184" ht="21" customHeight="1"/>
    <x:row r="185" ht="21" customHeight="1"/>
    <x:row r="186" ht="21" customHeight="1"/>
    <x:row r="187" ht="21" customHeight="1"/>
    <x:row r="188" ht="21" customHeight="1"/>
    <x:row r="189" ht="21" customHeight="1"/>
    <x:row r="190" ht="21" customHeight="1"/>
    <x:row r="191" ht="21" customHeight="1"/>
    <x:row r="192" ht="21" customHeight="1"/>
    <x:row r="193" ht="21" customHeight="1"/>
    <x:row r="194" ht="21" customHeight="1"/>
    <x:row r="195" ht="21" customHeight="1"/>
    <x:row r="196" ht="21" customHeight="1"/>
    <x:row r="197" ht="21" customHeight="1"/>
    <x:row r="198" ht="21" customHeight="1"/>
    <x:row r="199" ht="21" customHeight="1"/>
    <x:row r="200" ht="21" customHeight="1"/>
    <x:row r="201" ht="21" customHeight="1"/>
    <x:row r="202" ht="21" customHeight="1"/>
    <x:row r="203" ht="21" customHeight="1"/>
    <x:row r="204" ht="21" customHeight="1"/>
    <x:row r="205" ht="21" customHeight="1"/>
    <x:row r="206" ht="21" customHeight="1"/>
    <x:row r="207" ht="21" customHeight="1"/>
    <x:row r="208" ht="21" customHeight="1"/>
    <x:row r="209" ht="21" customHeight="1"/>
    <x:row r="210" ht="21" customHeight="1"/>
    <x:row r="211" ht="21" customHeight="1"/>
    <x:row r="212" ht="21" customHeight="1"/>
    <x:row r="213" ht="21" customHeight="1"/>
    <x:row r="214" ht="21" customHeight="1"/>
    <x:row r="215" ht="21" customHeight="1"/>
    <x:row r="216" ht="21" customHeight="1"/>
    <x:row r="217" ht="21" customHeight="1"/>
    <x:row r="218" ht="21" customHeight="1"/>
    <x:row r="219" ht="21" customHeight="1"/>
    <x:row r="220" ht="21" customHeight="1"/>
    <x:row r="221" ht="21" customHeight="1"/>
    <x:row r="222" ht="21" customHeight="1"/>
    <x:row r="223" ht="21" customHeight="1"/>
    <x:row r="224" ht="21" customHeight="1"/>
    <x:row r="225" ht="21" customHeight="1"/>
    <x:row r="226" ht="21" customHeight="1"/>
    <x:row r="227" ht="21" customHeight="1"/>
    <x:row r="228" ht="21" customHeight="1"/>
    <x:row r="229" ht="21" customHeight="1"/>
    <x:row r="230" ht="21" customHeight="1"/>
    <x:row r="231" ht="21" customHeight="1"/>
    <x:row r="232" ht="21" customHeight="1"/>
    <x:row r="233" ht="21" customHeight="1"/>
    <x:row r="234" ht="21" customHeight="1"/>
    <x:row r="235" ht="21" customHeight="1"/>
    <x:row r="236" ht="21" customHeight="1"/>
    <x:row r="237" ht="21" customHeight="1"/>
    <x:row r="238" ht="21" customHeight="1"/>
    <x:row r="239" ht="21" customHeight="1"/>
    <x:row r="240" ht="21" customHeight="1"/>
    <x:row r="241" ht="21" customHeight="1"/>
    <x:row r="242" ht="21" customHeight="1"/>
    <x:row r="243" ht="21" customHeight="1"/>
    <x:row r="244" ht="21" customHeight="1"/>
    <x:row r="245" ht="21" customHeight="1"/>
    <x:row r="246" ht="21" customHeight="1"/>
    <x:row r="247" ht="21" customHeight="1"/>
    <x:row r="248" ht="21" customHeight="1"/>
    <x:row r="249" ht="21" customHeight="1"/>
    <x:row r="250" ht="21" customHeight="1"/>
    <x:row r="251" ht="21" customHeight="1"/>
    <x:row r="252" ht="21" customHeight="1"/>
    <x:row r="253" ht="21" customHeight="1"/>
    <x:row r="254" ht="21" customHeight="1"/>
    <x:row r="255" ht="21" customHeight="1"/>
    <x:row r="256" ht="21" customHeight="1"/>
    <x:row r="257" ht="21" customHeight="1"/>
    <x:row r="258" ht="21" customHeight="1"/>
    <x:row r="259" ht="21" customHeight="1"/>
    <x:row r="260" ht="21" customHeight="1"/>
    <x:row r="261" ht="21" customHeight="1"/>
    <x:row r="262" ht="21" customHeight="1"/>
    <x:row r="263" ht="21" customHeight="1"/>
    <x:row r="264" ht="21" customHeight="1"/>
    <x:row r="265" ht="21" customHeight="1"/>
    <x:row r="266" ht="21" customHeight="1"/>
    <x:row r="267" ht="21" customHeight="1"/>
    <x:row r="268" ht="21" customHeight="1"/>
    <x:row r="269" ht="21" customHeight="1"/>
    <x:row r="270" ht="21" customHeight="1"/>
    <x:row r="271" ht="21" customHeight="1"/>
    <x:row r="272" ht="21" customHeight="1"/>
    <x:row r="273" ht="21" customHeight="1"/>
    <x:row r="274" ht="21" customHeight="1"/>
    <x:row r="275" ht="21" customHeight="1"/>
    <x:row r="276" ht="21" customHeight="1"/>
    <x:row r="277" ht="21" customHeight="1"/>
    <x:row r="278" ht="21" customHeight="1"/>
    <x:row r="279" ht="21" customHeight="1"/>
    <x:row r="280" ht="21" customHeight="1"/>
    <x:row r="281" ht="21" customHeight="1"/>
    <x:row r="282" ht="21" customHeight="1"/>
    <x:row r="283" ht="21" customHeight="1"/>
    <x:row r="284" ht="21" customHeight="1"/>
    <x:row r="285" ht="21" customHeight="1"/>
    <x:row r="286" ht="21" customHeight="1"/>
    <x:row r="287" ht="21" customHeight="1"/>
    <x:row r="288" ht="21" customHeight="1"/>
    <x:row r="289" ht="21" customHeight="1"/>
    <x:row r="290" ht="21" customHeight="1"/>
    <x:row r="291" ht="21" customHeight="1"/>
    <x:row r="292" ht="21" customHeight="1"/>
    <x:row r="293" ht="21" customHeight="1"/>
    <x:row r="294" ht="21" customHeight="1"/>
    <x:row r="295" ht="21" customHeight="1"/>
    <x:row r="296" ht="21" customHeight="1"/>
    <x:row r="297" ht="21" customHeight="1"/>
    <x:row r="298" ht="21" customHeight="1"/>
    <x:row r="299" ht="21" customHeight="1"/>
    <x:row r="300" ht="21" customHeight="1"/>
    <x:row r="301" ht="21" customHeight="1"/>
    <x:row r="302" ht="21" customHeight="1"/>
    <x:row r="303" ht="21" customHeight="1"/>
    <x:row r="304" ht="21" customHeight="1"/>
    <x:row r="305" ht="21" customHeight="1"/>
    <x:row r="306" ht="21" customHeight="1"/>
    <x:row r="307" ht="21" customHeight="1"/>
    <x:row r="308" ht="21" customHeight="1"/>
    <x:row r="309" ht="21" customHeight="1"/>
    <x:row r="310" ht="21" customHeight="1"/>
    <x:row r="311" ht="21" customHeight="1"/>
    <x:row r="312" ht="21" customHeight="1"/>
    <x:row r="313" ht="21" customHeight="1"/>
    <x:row r="314" ht="21" customHeight="1"/>
    <x:row r="315" ht="21" customHeight="1"/>
    <x:row r="316" ht="21" customHeight="1"/>
    <x:row r="317" ht="21" customHeight="1"/>
    <x:row r="318" ht="21" customHeight="1"/>
    <x:row r="319" ht="21" customHeight="1"/>
    <x:row r="320" ht="21" customHeight="1"/>
    <x:row r="321" ht="21" customHeight="1"/>
    <x:row r="322" ht="21" customHeight="1"/>
    <x:row r="323" ht="21" customHeight="1"/>
    <x:row r="324" ht="21" customHeight="1"/>
    <x:row r="325" ht="21" customHeight="1"/>
    <x:row r="326" ht="21" customHeight="1"/>
    <x:row r="327" ht="21" customHeight="1"/>
    <x:row r="328" ht="21" customHeight="1"/>
    <x:row r="329" ht="21" customHeight="1"/>
    <x:row r="330" ht="21" customHeight="1"/>
    <x:row r="331" ht="21" customHeight="1"/>
    <x:row r="332" ht="21" customHeight="1"/>
    <x:row r="333" ht="21" customHeight="1"/>
    <x:row r="334" ht="21" customHeight="1"/>
    <x:row r="335" ht="21" customHeight="1"/>
    <x:row r="336" ht="21" customHeight="1"/>
    <x:row r="337" ht="21" customHeight="1"/>
    <x:row r="338" ht="21" customHeight="1"/>
    <x:row r="339" ht="21" customHeight="1"/>
    <x:row r="340" ht="21" customHeight="1"/>
    <x:row r="341" ht="21" customHeight="1"/>
    <x:row r="342" ht="21" customHeight="1"/>
    <x:row r="343" ht="21" customHeight="1"/>
    <x:row r="344" ht="21" customHeight="1"/>
    <x:row r="345" ht="21" customHeight="1"/>
    <x:row r="346" ht="21" customHeight="1"/>
    <x:row r="347" ht="21" customHeight="1"/>
    <x:row r="348" ht="21" customHeight="1"/>
    <x:row r="349" ht="21" customHeight="1"/>
    <x:row r="350" ht="21" customHeight="1"/>
    <x:row r="351" ht="21" customHeight="1"/>
    <x:row r="352" ht="21" customHeight="1"/>
    <x:row r="353" ht="21" customHeight="1"/>
    <x:row r="354" ht="21" customHeight="1"/>
    <x:row r="355" ht="21" customHeight="1"/>
    <x:row r="356" ht="21" customHeight="1"/>
    <x:row r="357" ht="21" customHeight="1"/>
    <x:row r="358" ht="21" customHeight="1"/>
    <x:row r="359" ht="21" customHeight="1"/>
    <x:row r="360" ht="21" customHeight="1"/>
    <x:row r="361" ht="21" customHeight="1"/>
    <x:row r="362" ht="21" customHeight="1"/>
    <x:row r="363" ht="21" customHeight="1"/>
    <x:row r="364" ht="21" customHeight="1"/>
    <x:row r="365" ht="21" customHeight="1"/>
    <x:row r="366" ht="21" customHeight="1"/>
    <x:row r="367" ht="21" customHeight="1"/>
    <x:row r="368" ht="21" customHeight="1"/>
    <x:row r="369" ht="21" customHeight="1"/>
    <x:row r="370" ht="21" customHeight="1"/>
    <x:row r="371" ht="21" customHeight="1"/>
    <x:row r="372" ht="21" customHeight="1"/>
    <x:row r="373" ht="21" customHeight="1"/>
    <x:row r="374" ht="21" customHeight="1"/>
    <x:row r="375" ht="21" customHeight="1"/>
    <x:row r="376" ht="21" customHeight="1"/>
    <x:row r="377" ht="21" customHeight="1"/>
    <x:row r="378" ht="21" customHeight="1"/>
    <x:row r="379" ht="21" customHeight="1"/>
    <x:row r="380" ht="21" customHeight="1"/>
    <x:row r="381" ht="21" customHeight="1"/>
    <x:row r="382" ht="21" customHeight="1"/>
    <x:row r="383" ht="21" customHeight="1"/>
    <x:row r="384" ht="21" customHeight="1"/>
    <x:row r="385" ht="21" customHeight="1"/>
    <x:row r="386" ht="21" customHeight="1"/>
    <x:row r="387" ht="21" customHeight="1"/>
    <x:row r="388" ht="21" customHeight="1"/>
    <x:row r="389" ht="21" customHeight="1"/>
    <x:row r="390" ht="21" customHeight="1"/>
    <x:row r="391" ht="21" customHeight="1"/>
    <x:row r="392" ht="21" customHeight="1"/>
    <x:row r="393" ht="21" customHeight="1"/>
    <x:row r="394" ht="21" customHeight="1"/>
    <x:row r="395" ht="21" customHeight="1"/>
    <x:row r="396" ht="21" customHeight="1"/>
    <x:row r="397" ht="21" customHeight="1"/>
    <x:row r="398" ht="21" customHeight="1"/>
    <x:row r="399" ht="21" customHeight="1"/>
    <x:row r="400" ht="21" customHeight="1"/>
    <x:row r="401" ht="21" customHeight="1"/>
    <x:row r="402" ht="21" customHeight="1"/>
    <x:row r="403" ht="21" customHeight="1"/>
    <x:row r="404" ht="21" customHeight="1"/>
    <x:row r="405" ht="21" customHeight="1"/>
    <x:row r="406" ht="21" customHeight="1"/>
    <x:row r="407" ht="21" customHeight="1"/>
    <x:row r="408" ht="21" customHeight="1"/>
    <x:row r="409" ht="21" customHeight="1"/>
    <x:row r="410" ht="21" customHeight="1"/>
    <x:row r="411" ht="21" customHeight="1"/>
    <x:row r="412" ht="21" customHeight="1"/>
    <x:row r="413" ht="21" customHeight="1"/>
    <x:row r="414" ht="21" customHeight="1"/>
    <x:row r="415" ht="21" customHeight="1"/>
    <x:row r="416" ht="21" customHeight="1"/>
    <x:row r="417" ht="21" customHeight="1"/>
    <x:row r="418" ht="21" customHeight="1"/>
    <x:row r="419" ht="21" customHeight="1"/>
    <x:row r="420" ht="21" customHeight="1"/>
    <x:row r="421" ht="21" customHeight="1"/>
    <x:row r="422" ht="21" customHeight="1"/>
    <x:row r="423" ht="21" customHeight="1"/>
    <x:row r="424" ht="21" customHeight="1"/>
    <x:row r="425" ht="21" customHeight="1"/>
    <x:row r="426" ht="21" customHeight="1"/>
    <x:row r="427" ht="21" customHeight="1"/>
    <x:row r="428" ht="21" customHeight="1"/>
    <x:row r="429" ht="21" customHeight="1"/>
    <x:row r="430" ht="21" customHeight="1"/>
    <x:row r="431" ht="21" customHeight="1"/>
    <x:row r="432" ht="21" customHeight="1"/>
    <x:row r="433" ht="21" customHeight="1"/>
    <x:row r="434" ht="21" customHeight="1"/>
    <x:row r="435" ht="21" customHeight="1"/>
    <x:row r="436" ht="21" customHeight="1"/>
    <x:row r="437" ht="21" customHeight="1"/>
    <x:row r="438" ht="21" customHeight="1"/>
    <x:row r="439" ht="21" customHeight="1"/>
    <x:row r="440" ht="21" customHeight="1"/>
    <x:row r="441" ht="21" customHeight="1"/>
    <x:row r="442" ht="21" customHeight="1"/>
    <x:row r="443" ht="21" customHeight="1"/>
    <x:row r="444" ht="21" customHeight="1"/>
    <x:row r="445" ht="21" customHeight="1"/>
    <x:row r="446" ht="21" customHeight="1"/>
    <x:row r="447" ht="21" customHeight="1"/>
    <x:row r="448" ht="21" customHeight="1"/>
    <x:row r="449" ht="21" customHeight="1"/>
    <x:row r="450" ht="21" customHeight="1"/>
    <x:row r="451" ht="21" customHeight="1"/>
    <x:row r="452" ht="21" customHeight="1"/>
    <x:row r="453" ht="21" customHeight="1"/>
    <x:row r="454" ht="21" customHeight="1"/>
    <x:row r="455" ht="21" customHeight="1"/>
    <x:row r="456" ht="21" customHeight="1"/>
    <x:row r="457" ht="21" customHeight="1"/>
    <x:row r="458" ht="21" customHeight="1"/>
    <x:row r="459" ht="21" customHeight="1"/>
    <x:row r="460" ht="21" customHeight="1"/>
    <x:row r="461" ht="21" customHeight="1"/>
    <x:row r="462" ht="21" customHeight="1"/>
    <x:row r="463" ht="21" customHeight="1"/>
    <x:row r="464" ht="21" customHeight="1"/>
    <x:row r="465" ht="21" customHeight="1"/>
    <x:row r="466" ht="21" customHeight="1"/>
    <x:row r="467" ht="21" customHeight="1"/>
    <x:row r="468" ht="21" customHeight="1"/>
    <x:row r="469" ht="21" customHeight="1"/>
    <x:row r="470" ht="21" customHeight="1"/>
    <x:row r="471" ht="21" customHeight="1"/>
    <x:row r="472" ht="21" customHeight="1"/>
    <x:row r="473" ht="21" customHeight="1"/>
    <x:row r="474" ht="21" customHeight="1"/>
    <x:row r="475" ht="21" customHeight="1"/>
    <x:row r="476" ht="21" customHeight="1"/>
    <x:row r="477" ht="21" customHeight="1"/>
    <x:row r="478" ht="21" customHeight="1"/>
    <x:row r="479" ht="21" customHeight="1"/>
    <x:row r="480" ht="21" customHeight="1"/>
    <x:row r="481" ht="21" customHeight="1"/>
    <x:row r="482" ht="21" customHeight="1"/>
    <x:row r="483" ht="21" customHeight="1"/>
    <x:row r="484" ht="21" customHeight="1"/>
    <x:row r="485" ht="21" customHeight="1"/>
    <x:row r="486" ht="21" customHeight="1"/>
    <x:row r="487" ht="21" customHeight="1"/>
    <x:row r="488" ht="21" customHeight="1"/>
    <x:row r="489" ht="21" customHeight="1"/>
    <x:row r="490" ht="21" customHeight="1"/>
    <x:row r="491" ht="21" customHeight="1"/>
    <x:row r="492" ht="21" customHeight="1"/>
    <x:row r="493" ht="21" customHeight="1"/>
    <x:row r="494" ht="21" customHeight="1"/>
    <x:row r="495" ht="21" customHeight="1"/>
    <x:row r="496" ht="21" customHeight="1"/>
    <x:row r="497" ht="21" customHeight="1"/>
    <x:row r="498" ht="21" customHeight="1"/>
    <x:row r="499" ht="21" customHeight="1"/>
    <x:row r="500" ht="21" customHeight="1"/>
    <x:row r="501" ht="21" customHeight="1"/>
    <x:row r="502" ht="21" customHeight="1"/>
    <x:row r="503" ht="21" customHeight="1"/>
    <x:row r="504" ht="21" customHeight="1"/>
    <x:row r="505" ht="21" customHeight="1"/>
    <x:row r="506" ht="21" customHeight="1"/>
    <x:row r="507" ht="21" customHeight="1"/>
    <x:row r="508" ht="21" customHeight="1"/>
    <x:row r="509" ht="21" customHeight="1"/>
    <x:row r="510" ht="21" customHeight="1"/>
    <x:row r="511" ht="21" customHeight="1"/>
    <x:row r="512" ht="21" customHeight="1"/>
    <x:row r="513" ht="21" customHeight="1"/>
    <x:row r="514" ht="21" customHeight="1"/>
    <x:row r="515" ht="21" customHeight="1"/>
    <x:row r="516" ht="21" customHeight="1"/>
    <x:row r="517" ht="21" customHeight="1"/>
    <x:row r="518" ht="21" customHeight="1"/>
    <x:row r="519" ht="21" customHeight="1"/>
    <x:row r="520" ht="21" customHeight="1"/>
    <x:row r="521" ht="21" customHeight="1"/>
    <x:row r="522" ht="21" customHeight="1"/>
    <x:row r="523" ht="21" customHeight="1"/>
    <x:row r="524" ht="21" customHeight="1"/>
    <x:row r="525" ht="21" customHeight="1"/>
    <x:row r="526" ht="21" customHeight="1"/>
    <x:row r="527" ht="21" customHeight="1"/>
    <x:row r="528" ht="21" customHeight="1"/>
    <x:row r="529" ht="21" customHeight="1"/>
    <x:row r="530" ht="21" customHeight="1"/>
    <x:row r="531" ht="21" customHeight="1"/>
    <x:row r="532" ht="21" customHeight="1"/>
    <x:row r="533" ht="21" customHeight="1"/>
    <x:row r="534" ht="21" customHeight="1"/>
    <x:row r="535" ht="21" customHeight="1"/>
    <x:row r="536" ht="21" customHeight="1"/>
    <x:row r="537" ht="21" customHeight="1"/>
    <x:row r="538" ht="21" customHeight="1"/>
    <x:row r="539" ht="21" customHeight="1"/>
    <x:row r="540" ht="21" customHeight="1"/>
    <x:row r="541" ht="21" customHeight="1"/>
    <x:row r="542" ht="21" customHeight="1"/>
    <x:row r="543" ht="21" customHeight="1"/>
    <x:row r="544" ht="21" customHeight="1"/>
    <x:row r="545" ht="21" customHeight="1"/>
    <x:row r="546" ht="21" customHeight="1"/>
    <x:row r="547" ht="21" customHeight="1"/>
    <x:row r="548" ht="21" customHeight="1"/>
    <x:row r="549" ht="21" customHeight="1"/>
    <x:row r="550" ht="21" customHeight="1"/>
    <x:row r="551" ht="21" customHeight="1"/>
    <x:row r="552" ht="21" customHeight="1"/>
    <x:row r="553" ht="21" customHeight="1"/>
    <x:row r="554" ht="21" customHeight="1"/>
    <x:row r="555" ht="21" customHeight="1"/>
    <x:row r="556" ht="21" customHeight="1"/>
    <x:row r="557" ht="21" customHeight="1"/>
    <x:row r="558" ht="21" customHeight="1"/>
    <x:row r="559" ht="21" customHeight="1"/>
    <x:row r="560" ht="21" customHeight="1"/>
    <x:row r="561" ht="21" customHeight="1"/>
    <x:row r="562" ht="21" customHeight="1"/>
    <x:row r="563" ht="21" customHeight="1"/>
    <x:row r="564" ht="21" customHeight="1"/>
    <x:row r="565" ht="21" customHeight="1"/>
    <x:row r="566" ht="21" customHeight="1"/>
    <x:row r="567" ht="21" customHeight="1"/>
    <x:row r="568" ht="21" customHeight="1"/>
    <x:row r="569" ht="21" customHeight="1"/>
    <x:row r="570" ht="21" customHeight="1"/>
    <x:row r="571" ht="21" customHeight="1"/>
    <x:row r="572" ht="21" customHeight="1"/>
    <x:row r="573" ht="21" customHeight="1"/>
    <x:row r="574" ht="21" customHeight="1"/>
    <x:row r="575" ht="21" customHeight="1"/>
    <x:row r="576" ht="21" customHeight="1"/>
    <x:row r="577" ht="21" customHeight="1"/>
    <x:row r="578" ht="21" customHeight="1"/>
    <x:row r="579" ht="21" customHeight="1"/>
    <x:row r="580" ht="21" customHeight="1"/>
    <x:row r="581" ht="21" customHeight="1"/>
    <x:row r="582" ht="21" customHeight="1"/>
    <x:row r="583" ht="21" customHeight="1"/>
    <x:row r="584" ht="21" customHeight="1"/>
    <x:row r="585" ht="21" customHeight="1"/>
    <x:row r="586" ht="21" customHeight="1"/>
    <x:row r="587" ht="21" customHeight="1"/>
    <x:row r="588" ht="21" customHeight="1"/>
    <x:row r="589" ht="21" customHeight="1"/>
    <x:row r="590" ht="21" customHeight="1"/>
    <x:row r="591" ht="21" customHeight="1"/>
    <x:row r="592" ht="21" customHeight="1"/>
    <x:row r="593" ht="21" customHeight="1"/>
    <x:row r="594" ht="21" customHeight="1"/>
    <x:row r="595" ht="21" customHeight="1"/>
    <x:row r="596" ht="21" customHeight="1"/>
    <x:row r="597" ht="21" customHeight="1"/>
    <x:row r="598" ht="21" customHeight="1"/>
    <x:row r="599" ht="21" customHeight="1"/>
    <x:row r="600" ht="21" customHeight="1"/>
    <x:row r="601" ht="21" customHeight="1"/>
    <x:row r="602" ht="21" customHeight="1"/>
    <x:row r="603" ht="21" customHeight="1"/>
    <x:row r="604" ht="21" customHeight="1"/>
    <x:row r="605" ht="21" customHeight="1"/>
    <x:row r="606" ht="21" customHeight="1"/>
    <x:row r="607" ht="21" customHeight="1"/>
    <x:row r="608" ht="21" customHeight="1"/>
    <x:row r="609" ht="21" customHeight="1"/>
    <x:row r="610" ht="21" customHeight="1"/>
    <x:row r="611" ht="21" customHeight="1"/>
    <x:row r="612" ht="21" customHeight="1"/>
    <x:row r="613" ht="21" customHeight="1"/>
    <x:row r="614" ht="21" customHeight="1"/>
    <x:row r="615" ht="21" customHeight="1"/>
    <x:row r="616" ht="21" customHeight="1"/>
    <x:row r="617" ht="21" customHeight="1"/>
    <x:row r="618" ht="21" customHeight="1"/>
    <x:row r="619" ht="21" customHeight="1"/>
    <x:row r="620" ht="21" customHeight="1"/>
    <x:row r="621" ht="21" customHeight="1"/>
    <x:row r="622" ht="21" customHeight="1"/>
    <x:row r="623" ht="21" customHeight="1"/>
    <x:row r="624" ht="21" customHeight="1"/>
    <x:row r="625" ht="21" customHeight="1"/>
    <x:row r="626" ht="21" customHeight="1"/>
    <x:row r="627" ht="21" customHeight="1"/>
    <x:row r="628" ht="21" customHeight="1"/>
    <x:row r="629" ht="21" customHeight="1"/>
    <x:row r="630" ht="21" customHeight="1"/>
    <x:row r="631" ht="21" customHeight="1"/>
    <x:row r="632" ht="21" customHeight="1"/>
    <x:row r="633" ht="21" customHeight="1"/>
    <x:row r="634" ht="21" customHeight="1"/>
    <x:row r="635" ht="21" customHeight="1"/>
    <x:row r="636" ht="21" customHeight="1"/>
    <x:row r="637" ht="21" customHeight="1"/>
    <x:row r="638" ht="21" customHeight="1"/>
    <x:row r="639" ht="21" customHeight="1"/>
    <x:row r="640" ht="21" customHeight="1"/>
    <x:row r="641" ht="21" customHeight="1"/>
    <x:row r="642" ht="21" customHeight="1"/>
    <x:row r="643" ht="21" customHeight="1"/>
    <x:row r="644" ht="21" customHeight="1"/>
    <x:row r="645" ht="21" customHeight="1"/>
    <x:row r="646" ht="21" customHeight="1"/>
    <x:row r="647" ht="21" customHeight="1"/>
    <x:row r="648" ht="21" customHeight="1"/>
    <x:row r="649" ht="21" customHeight="1"/>
    <x:row r="650" ht="21" customHeight="1"/>
    <x:row r="651" ht="21" customHeight="1"/>
    <x:row r="652" ht="21" customHeight="1"/>
    <x:row r="653" ht="21" customHeight="1"/>
    <x:row r="654" ht="21" customHeight="1"/>
    <x:row r="655" ht="21" customHeight="1"/>
    <x:row r="656" ht="21" customHeight="1"/>
    <x:row r="657" ht="21" customHeight="1"/>
    <x:row r="658" ht="21" customHeight="1"/>
    <x:row r="659" ht="21" customHeight="1"/>
    <x:row r="660" ht="21" customHeight="1"/>
    <x:row r="661" ht="21" customHeight="1"/>
    <x:row r="662" ht="21" customHeight="1"/>
    <x:row r="663" ht="21" customHeight="1"/>
    <x:row r="664" ht="21" customHeight="1"/>
    <x:row r="665" ht="21" customHeight="1"/>
    <x:row r="666" ht="21" customHeight="1"/>
    <x:row r="667" ht="21" customHeight="1"/>
    <x:row r="668" ht="21" customHeight="1"/>
    <x:row r="669" ht="21" customHeight="1"/>
    <x:row r="670" ht="21" customHeight="1"/>
    <x:row r="671" ht="21" customHeight="1"/>
    <x:row r="672" ht="21" customHeight="1"/>
    <x:row r="673" ht="21" customHeight="1"/>
    <x:row r="674" ht="21" customHeight="1"/>
    <x:row r="675" ht="21" customHeight="1"/>
    <x:row r="676" ht="21" customHeight="1"/>
    <x:row r="677" ht="21" customHeight="1"/>
    <x:row r="678" ht="21" customHeight="1"/>
    <x:row r="679" ht="21" customHeight="1"/>
    <x:row r="680" ht="21" customHeight="1"/>
    <x:row r="681" ht="21" customHeight="1"/>
    <x:row r="682" ht="21" customHeight="1"/>
    <x:row r="683" ht="21" customHeight="1"/>
    <x:row r="684" ht="21" customHeight="1"/>
    <x:row r="685" ht="21" customHeight="1"/>
    <x:row r="686" ht="21" customHeight="1"/>
    <x:row r="687" ht="21" customHeight="1"/>
    <x:row r="688" ht="21" customHeight="1"/>
    <x:row r="689" ht="21" customHeight="1"/>
    <x:row r="690" ht="21" customHeight="1"/>
    <x:row r="691" ht="21" customHeight="1"/>
    <x:row r="692" ht="21" customHeight="1"/>
    <x:row r="693" ht="21" customHeight="1"/>
    <x:row r="694" ht="21" customHeight="1"/>
    <x:row r="695" ht="21" customHeight="1"/>
    <x:row r="696" ht="21" customHeight="1"/>
    <x:row r="697" ht="21" customHeight="1"/>
    <x:row r="698" ht="21" customHeight="1"/>
    <x:row r="699" ht="21" customHeight="1"/>
    <x:row r="700" ht="21" customHeight="1"/>
    <x:row r="701" ht="21" customHeight="1"/>
    <x:row r="702" ht="21" customHeight="1"/>
    <x:row r="703" ht="21" customHeight="1"/>
    <x:row r="704" ht="21" customHeight="1"/>
    <x:row r="705" ht="21" customHeight="1"/>
    <x:row r="706" ht="21" customHeight="1"/>
    <x:row r="707" ht="21" customHeight="1"/>
    <x:row r="708" ht="21" customHeight="1"/>
    <x:row r="709" ht="21" customHeight="1"/>
    <x:row r="710" ht="21" customHeight="1"/>
    <x:row r="711" ht="21" customHeight="1"/>
    <x:row r="712" ht="21" customHeight="1"/>
    <x:row r="713" ht="21" customHeight="1"/>
    <x:row r="714" ht="21" customHeight="1"/>
    <x:row r="715" ht="21" customHeight="1"/>
    <x:row r="716" ht="21" customHeight="1"/>
    <x:row r="717" ht="21" customHeight="1"/>
    <x:row r="718" ht="21" customHeight="1"/>
    <x:row r="719" ht="21" customHeight="1"/>
    <x:row r="720" ht="21" customHeight="1"/>
    <x:row r="721" ht="21" customHeight="1"/>
    <x:row r="722" ht="21" customHeight="1"/>
    <x:row r="723" ht="21" customHeight="1"/>
    <x:row r="724" ht="21" customHeight="1"/>
    <x:row r="725" ht="21" customHeight="1"/>
    <x:row r="726" ht="21" customHeight="1"/>
    <x:row r="727" ht="21" customHeight="1"/>
    <x:row r="728" ht="21" customHeight="1"/>
    <x:row r="729" ht="21" customHeight="1"/>
    <x:row r="730" ht="21" customHeight="1"/>
    <x:row r="731" ht="21" customHeight="1"/>
    <x:row r="732" ht="21" customHeight="1"/>
    <x:row r="733" ht="21" customHeight="1"/>
    <x:row r="734" ht="21" customHeight="1"/>
    <x:row r="735" ht="21" customHeight="1"/>
    <x:row r="736" ht="21" customHeight="1"/>
    <x:row r="737" ht="21" customHeight="1"/>
    <x:row r="738" ht="21" customHeight="1"/>
    <x:row r="739" ht="21" customHeight="1"/>
    <x:row r="740" ht="21" customHeight="1"/>
    <x:row r="741" ht="21" customHeight="1"/>
    <x:row r="742" ht="21" customHeight="1"/>
    <x:row r="743" ht="21" customHeight="1"/>
    <x:row r="744" ht="21" customHeight="1"/>
    <x:row r="745" ht="21" customHeight="1"/>
    <x:row r="746" ht="21" customHeight="1"/>
    <x:row r="747" ht="21" customHeight="1"/>
    <x:row r="748" ht="21" customHeight="1"/>
    <x:row r="749" ht="21" customHeight="1"/>
    <x:row r="750" ht="21" customHeight="1"/>
    <x:row r="751" ht="21" customHeight="1"/>
    <x:row r="752" ht="21" customHeight="1"/>
    <x:row r="753" ht="21" customHeight="1"/>
    <x:row r="754" ht="21" customHeight="1"/>
    <x:row r="755" ht="21" customHeight="1"/>
    <x:row r="756" ht="21" customHeight="1"/>
    <x:row r="757" ht="21" customHeight="1"/>
    <x:row r="758" ht="21" customHeight="1"/>
    <x:row r="759" ht="21" customHeight="1"/>
    <x:row r="760" ht="21" customHeight="1"/>
    <x:row r="761" ht="21" customHeight="1"/>
    <x:row r="762" ht="21" customHeight="1"/>
    <x:row r="763" ht="21" customHeight="1"/>
    <x:row r="764" ht="21" customHeight="1"/>
    <x:row r="765" ht="21" customHeight="1"/>
    <x:row r="766" ht="21" customHeight="1"/>
    <x:row r="767" ht="21" customHeight="1"/>
    <x:row r="768" ht="21" customHeight="1"/>
    <x:row r="769" ht="21" customHeight="1"/>
    <x:row r="770" ht="21" customHeight="1"/>
    <x:row r="771" ht="21" customHeight="1"/>
    <x:row r="772" ht="21" customHeight="1"/>
    <x:row r="773" ht="21" customHeight="1"/>
    <x:row r="774" ht="21" customHeight="1"/>
    <x:row r="775" ht="21" customHeight="1"/>
    <x:row r="776" ht="21" customHeight="1"/>
    <x:row r="777" ht="21" customHeight="1"/>
    <x:row r="778" ht="21" customHeight="1"/>
    <x:row r="779" ht="21" customHeight="1"/>
    <x:row r="780" ht="21" customHeight="1"/>
    <x:row r="781" ht="21" customHeight="1"/>
    <x:row r="782" ht="21" customHeight="1"/>
    <x:row r="783" ht="21" customHeight="1"/>
    <x:row r="784" ht="21" customHeight="1"/>
    <x:row r="785" ht="21" customHeight="1"/>
    <x:row r="786" ht="21" customHeight="1"/>
    <x:row r="787" ht="21" customHeight="1"/>
    <x:row r="788" ht="21" customHeight="1"/>
    <x:row r="789" ht="21" customHeight="1"/>
    <x:row r="790" ht="21" customHeight="1"/>
    <x:row r="791" ht="21" customHeight="1"/>
    <x:row r="792" ht="21" customHeight="1"/>
    <x:row r="793" ht="21" customHeight="1"/>
    <x:row r="794" ht="21" customHeight="1"/>
    <x:row r="795" ht="21" customHeight="1"/>
    <x:row r="796" ht="21" customHeight="1"/>
    <x:row r="797" ht="21" customHeight="1"/>
    <x:row r="798" ht="21" customHeight="1"/>
    <x:row r="799" ht="21" customHeight="1"/>
    <x:row r="800" ht="21" customHeight="1"/>
    <x:row r="801" ht="21" customHeight="1"/>
    <x:row r="802" ht="21" customHeight="1"/>
    <x:row r="803" ht="21" customHeight="1"/>
    <x:row r="804" ht="21" customHeight="1"/>
    <x:row r="805" ht="21" customHeight="1"/>
    <x:row r="806" ht="21" customHeight="1"/>
    <x:row r="807" ht="21" customHeight="1"/>
    <x:row r="808" ht="21" customHeight="1"/>
    <x:row r="809" ht="21" customHeight="1"/>
    <x:row r="810" ht="21" customHeight="1"/>
    <x:row r="811" ht="21" customHeight="1"/>
    <x:row r="812" ht="21" customHeight="1"/>
    <x:row r="813" ht="21" customHeight="1"/>
    <x:row r="814" ht="21" customHeight="1"/>
    <x:row r="815" ht="21" customHeight="1"/>
    <x:row r="816" ht="21" customHeight="1"/>
    <x:row r="817" ht="21" customHeight="1"/>
    <x:row r="818" ht="21" customHeight="1"/>
    <x:row r="819" ht="21" customHeight="1"/>
    <x:row r="820" ht="21" customHeight="1"/>
    <x:row r="821" ht="21" customHeight="1"/>
    <x:row r="822" ht="21" customHeight="1"/>
    <x:row r="823" ht="21" customHeight="1"/>
    <x:row r="824" ht="21" customHeight="1"/>
    <x:row r="825" ht="21" customHeight="1"/>
    <x:row r="826" ht="21" customHeight="1"/>
    <x:row r="827" ht="21" customHeight="1"/>
    <x:row r="828" ht="21" customHeight="1"/>
    <x:row r="829" ht="21" customHeight="1"/>
    <x:row r="830" ht="21" customHeight="1"/>
    <x:row r="831" ht="21" customHeight="1"/>
    <x:row r="832" ht="21" customHeight="1"/>
    <x:row r="833" ht="21" customHeight="1"/>
    <x:row r="834" ht="21" customHeight="1"/>
    <x:row r="835" ht="21" customHeight="1"/>
    <x:row r="836" ht="21" customHeight="1"/>
    <x:row r="837" ht="21" customHeight="1"/>
    <x:row r="838" ht="21" customHeight="1"/>
    <x:row r="839" ht="21" customHeight="1"/>
    <x:row r="840" ht="21" customHeight="1"/>
    <x:row r="841" ht="21" customHeight="1"/>
    <x:row r="842" ht="21" customHeight="1"/>
    <x:row r="843" ht="21" customHeight="1"/>
    <x:row r="844" ht="21" customHeight="1"/>
    <x:row r="845" ht="21" customHeight="1"/>
    <x:row r="846" ht="21" customHeight="1"/>
    <x:row r="847" ht="21" customHeight="1"/>
    <x:row r="848" ht="21" customHeight="1"/>
    <x:row r="849" ht="21" customHeight="1"/>
    <x:row r="850" ht="21" customHeight="1"/>
    <x:row r="851" ht="21" customHeight="1"/>
    <x:row r="852" ht="21" customHeight="1"/>
    <x:row r="853" ht="21" customHeight="1"/>
    <x:row r="854" ht="21" customHeight="1"/>
    <x:row r="855" ht="21" customHeight="1"/>
    <x:row r="856" ht="21" customHeight="1"/>
    <x:row r="857" ht="21" customHeight="1"/>
    <x:row r="858" ht="21" customHeight="1"/>
    <x:row r="859" ht="21" customHeight="1"/>
    <x:row r="860" ht="21" customHeight="1"/>
    <x:row r="861" ht="21" customHeight="1"/>
    <x:row r="862" ht="21" customHeight="1"/>
    <x:row r="863" ht="21" customHeight="1"/>
    <x:row r="864" ht="21" customHeight="1"/>
    <x:row r="865" ht="21" customHeight="1"/>
    <x:row r="866" ht="21" customHeight="1"/>
    <x:row r="867" ht="21" customHeight="1"/>
    <x:row r="868" ht="21" customHeight="1"/>
    <x:row r="869" ht="21" customHeight="1"/>
    <x:row r="870" ht="21" customHeight="1"/>
    <x:row r="871" ht="21" customHeight="1"/>
    <x:row r="872" ht="21" customHeight="1"/>
    <x:row r="873" ht="21" customHeight="1"/>
    <x:row r="874" ht="21" customHeight="1"/>
    <x:row r="875" ht="21" customHeight="1"/>
    <x:row r="876" ht="21" customHeight="1"/>
    <x:row r="877" ht="21" customHeight="1"/>
    <x:row r="878" ht="21" customHeight="1"/>
    <x:row r="879" ht="21" customHeight="1"/>
    <x:row r="880" ht="21" customHeight="1"/>
    <x:row r="881" ht="21" customHeight="1"/>
    <x:row r="882" ht="21" customHeight="1"/>
    <x:row r="883" ht="21" customHeight="1"/>
    <x:row r="884" ht="21" customHeight="1"/>
    <x:row r="885" ht="21" customHeight="1"/>
    <x:row r="886" ht="21" customHeight="1"/>
    <x:row r="887" ht="21" customHeight="1"/>
    <x:row r="888" ht="21" customHeight="1"/>
    <x:row r="889" ht="21" customHeight="1"/>
    <x:row r="890" ht="21" customHeight="1"/>
    <x:row r="891" ht="21" customHeight="1"/>
    <x:row r="892" ht="21" customHeight="1"/>
    <x:row r="893" ht="21" customHeight="1"/>
    <x:row r="894" ht="21" customHeight="1"/>
    <x:row r="895" ht="21" customHeight="1"/>
    <x:row r="896" ht="21" customHeight="1"/>
    <x:row r="897" ht="21" customHeight="1"/>
    <x:row r="898" ht="21" customHeight="1"/>
    <x:row r="899" ht="21" customHeight="1"/>
    <x:row r="900" ht="21" customHeight="1"/>
    <x:row r="901" ht="21" customHeight="1"/>
    <x:row r="902" ht="21" customHeight="1"/>
    <x:row r="903" ht="21" customHeight="1"/>
    <x:row r="904" ht="21" customHeight="1"/>
    <x:row r="905" ht="21" customHeight="1"/>
    <x:row r="906" ht="21" customHeight="1"/>
    <x:row r="907" ht="21" customHeight="1"/>
    <x:row r="908" ht="21" customHeight="1"/>
    <x:row r="909" ht="21" customHeight="1"/>
    <x:row r="910" ht="21" customHeight="1"/>
    <x:row r="911" ht="21" customHeight="1"/>
    <x:row r="912" ht="21" customHeight="1"/>
    <x:row r="913" ht="21" customHeight="1"/>
    <x:row r="914" ht="21" customHeight="1"/>
    <x:row r="915" ht="21" customHeight="1"/>
    <x:row r="916" ht="21" customHeight="1"/>
    <x:row r="917" ht="21" customHeight="1"/>
    <x:row r="918" ht="21" customHeight="1"/>
    <x:row r="919" ht="21" customHeight="1"/>
    <x:row r="920" ht="21" customHeight="1"/>
    <x:row r="921" ht="21" customHeight="1"/>
    <x:row r="922" ht="21" customHeight="1"/>
    <x:row r="923" ht="21" customHeight="1"/>
    <x:row r="924" ht="21" customHeight="1"/>
    <x:row r="925" ht="21" customHeight="1"/>
    <x:row r="926" ht="21" customHeight="1"/>
    <x:row r="927" ht="21" customHeight="1"/>
    <x:row r="928" ht="21" customHeight="1"/>
    <x:row r="929" ht="21" customHeight="1"/>
    <x:row r="930" ht="21" customHeight="1"/>
    <x:row r="931" ht="21" customHeight="1"/>
    <x:row r="932" ht="21" customHeight="1"/>
    <x:row r="933" ht="21" customHeight="1"/>
    <x:row r="934" ht="21" customHeight="1"/>
    <x:row r="935" ht="21" customHeight="1"/>
    <x:row r="936" ht="21" customHeight="1"/>
    <x:row r="937" ht="21" customHeight="1"/>
    <x:row r="938" ht="21" customHeight="1"/>
    <x:row r="939" ht="21" customHeight="1"/>
    <x:row r="940" ht="21" customHeight="1"/>
    <x:row r="941" ht="21" customHeight="1"/>
    <x:row r="942" ht="21" customHeight="1"/>
    <x:row r="943" ht="21" customHeight="1"/>
    <x:row r="944" ht="21" customHeight="1"/>
    <x:row r="945" ht="21" customHeight="1"/>
    <x:row r="946" ht="21" customHeight="1"/>
    <x:row r="947" ht="21" customHeight="1"/>
    <x:row r="948" ht="21" customHeight="1"/>
    <x:row r="949" ht="21" customHeight="1"/>
    <x:row r="950" ht="21" customHeight="1"/>
    <x:row r="951" ht="21" customHeight="1"/>
    <x:row r="952" ht="21" customHeight="1"/>
    <x:row r="953" ht="21" customHeight="1"/>
    <x:row r="954" ht="21" customHeight="1"/>
    <x:row r="955" ht="21" customHeight="1"/>
    <x:row r="956" ht="21" customHeight="1"/>
    <x:row r="957" ht="21" customHeight="1"/>
    <x:row r="958" ht="21" customHeight="1"/>
    <x:row r="959" ht="21" customHeight="1"/>
    <x:row r="960" ht="21" customHeight="1"/>
    <x:row r="961" ht="21" customHeight="1"/>
    <x:row r="962" ht="21" customHeight="1"/>
    <x:row r="963" ht="21" customHeight="1"/>
    <x:row r="964" ht="21" customHeight="1"/>
    <x:row r="965" ht="21" customHeight="1"/>
    <x:row r="966" ht="21" customHeight="1"/>
    <x:row r="967" ht="21" customHeight="1"/>
    <x:row r="968" ht="21" customHeight="1"/>
    <x:row r="969" ht="21" customHeight="1"/>
    <x:row r="970" ht="21" customHeight="1"/>
    <x:row r="971" ht="21" customHeight="1"/>
    <x:row r="972" ht="21" customHeight="1"/>
    <x:row r="973" ht="21" customHeight="1"/>
    <x:row r="974" ht="21" customHeight="1"/>
    <x:row r="975" ht="21" customHeight="1"/>
    <x:row r="976" ht="21" customHeight="1"/>
    <x:row r="977" ht="21" customHeight="1"/>
    <x:row r="978" ht="21" customHeight="1"/>
    <x:row r="979" ht="21" customHeight="1"/>
    <x:row r="980" ht="21" customHeight="1"/>
    <x:row r="981" ht="21" customHeight="1"/>
    <x:row r="982" ht="21" customHeight="1"/>
    <x:row r="983" ht="21" customHeight="1"/>
    <x:row r="984" ht="21" customHeight="1"/>
    <x:row r="985" ht="21" customHeight="1"/>
    <x:row r="986" ht="21" customHeight="1"/>
    <x:row r="987" ht="21" customHeight="1"/>
    <x:row r="988" ht="21" customHeight="1"/>
    <x:row r="989" ht="21" customHeight="1"/>
    <x:row r="990" ht="21" customHeight="1"/>
    <x:row r="991" ht="21" customHeight="1"/>
    <x:row r="992" ht="21" customHeight="1"/>
    <x:row r="993" ht="21" customHeight="1"/>
    <x:row r="994" ht="21" customHeight="1"/>
    <x:row r="995" ht="21" customHeight="1"/>
    <x:row r="996" ht="21" customHeight="1"/>
    <x:row r="997" ht="21" customHeight="1"/>
    <x:row r="998" ht="21" customHeight="1"/>
    <x:row r="999" ht="21" customHeight="1"/>
    <x:row r="1000" ht="21" customHeight="1"/>
  </x:sheetData>
  <x:mergeCells>
    <x:mergeCell ref="A2:Q2"/>
    <x:mergeCell ref="A4:G5"/>
    <x:mergeCell ref="H4:AE5"/>
    <x:mergeCell ref="AF4:AM5"/>
    <x:mergeCell ref="A6:A7"/>
    <x:mergeCell ref="B6:B7"/>
    <x:mergeCell ref="D6:D7"/>
    <x:mergeCell ref="A8:AM8"/>
    <x:mergeCell ref="A16:AM16"/>
    <x:mergeCell ref="A22:AM22"/>
    <x:mergeCell ref="A28:AM28"/>
    <x:mergeCell ref="A33:AM33"/>
    <x:mergeCell ref="T6:W6"/>
    <x:mergeCell ref="X6:AA6"/>
    <x:mergeCell ref="AB6:AE6"/>
    <x:mergeCell ref="AF6:AI6"/>
    <x:mergeCell ref="AJ6:AM6"/>
    <x:mergeCell ref="E6:F6"/>
    <x:mergeCell ref="G6:G7"/>
    <x:mergeCell ref="H6:K6"/>
    <x:mergeCell ref="L6:O6"/>
    <x:mergeCell ref="P6:S6"/>
  </x:mergeCells>
  <x:conditionalFormatting sqref="D1:D1 D3:D3 D6:D7 D9:D15 D17:D21">
    <x:cfRule type="containsText" dxfId="45" priority="1" operator="containsText" text="In process">
      <x:formula>NOT(ISERROR(SEARCH(("In process"),(D1))))</x:formula>
    </x:cfRule>
    <x:cfRule type="containsText" dxfId="44" priority="2" operator="containsText" text="Done">
      <x:formula>NOT(ISERROR(SEARCH(("Done"),(D1))))</x:formula>
    </x:cfRule>
  </x:conditionalFormatting>
  <x:conditionalFormatting sqref="D9:D15 D17:D21">
    <x:cfRule type="containsText" dxfId="43" priority="3" operator="containsText" text="In progress">
      <x:formula>NOT(ISERROR(SEARCH(("In progress"),(D9))))</x:formula>
    </x:cfRule>
  </x:conditionalFormatting>
  <x:conditionalFormatting sqref="D23:D27">
    <x:cfRule type="containsText" dxfId="42" priority="4" operator="containsText" text="In progress">
      <x:formula>NOT(ISERROR(SEARCH(("In progress"),(D23))))</x:formula>
    </x:cfRule>
    <x:cfRule type="containsText" dxfId="41" priority="5" operator="containsText" text="In process">
      <x:formula>NOT(ISERROR(SEARCH(("In process"),(D23))))</x:formula>
    </x:cfRule>
    <x:cfRule type="containsText" dxfId="40" priority="6" operator="containsText" text="Done">
      <x:formula>NOT(ISERROR(SEARCH(("Done"),(D23))))</x:formula>
    </x:cfRule>
  </x:conditionalFormatting>
  <x:conditionalFormatting sqref="D29:D32">
    <x:cfRule type="containsText" dxfId="39" priority="7" operator="containsText" text="In progress">
      <x:formula>NOT(ISERROR(SEARCH(("In progress"),(D29))))</x:formula>
    </x:cfRule>
    <x:cfRule type="containsText" dxfId="38" priority="8" operator="containsText" text="In process">
      <x:formula>NOT(ISERROR(SEARCH(("In process"),(D29))))</x:formula>
    </x:cfRule>
    <x:cfRule type="containsText" dxfId="37" priority="9" operator="containsText" text="Done">
      <x:formula>NOT(ISERROR(SEARCH(("Done"),(D29))))</x:formula>
    </x:cfRule>
  </x:conditionalFormatting>
  <x:conditionalFormatting sqref="D34:D37">
    <x:cfRule type="containsText" dxfId="36" priority="10" operator="containsText" text="In progress">
      <x:formula>NOT(ISERROR(SEARCH(("In progress"),(D34))))</x:formula>
    </x:cfRule>
  </x:conditionalFormatting>
  <x:conditionalFormatting sqref="D34:D1000">
    <x:cfRule type="containsText" dxfId="35" priority="11" operator="containsText" text="In process">
      <x:formula>NOT(ISERROR(SEARCH(("In process"),(D34))))</x:formula>
    </x:cfRule>
    <x:cfRule type="containsText" dxfId="34" priority="12" operator="containsText" text="Done">
      <x:formula>NOT(ISERROR(SEARCH(("Done"),(D34))))</x:formula>
    </x:cfRule>
  </x:conditionalFormatting>
  <x:conditionalFormatting sqref="AO1:AO3">
    <x:cfRule type="containsText" dxfId="33" priority="13" operator="containsText" text="In progress">
      <x:formula>NOT(ISERROR(SEARCH(("In progress"),(AO1))))</x:formula>
    </x:cfRule>
    <x:cfRule type="containsText" dxfId="32" priority="14" operator="containsText" text="In process">
      <x:formula>NOT(ISERROR(SEARCH(("In process"),(AO1))))</x:formula>
    </x:cfRule>
    <x:cfRule type="containsText" dxfId="31" priority="15" operator="containsText" text="Done">
      <x:formula>NOT(ISERROR(SEARCH(("Done"),(AO1))))</x:formula>
    </x:cfRule>
  </x:conditionalFormatting>
  <x:pageMargins left="0.7" right="0.7" top="0.75" bottom="0.75" header="0.3" footer="0.3"/>
  <x:drawing xmlns:r="http://schemas.openxmlformats.org/officeDocument/2006/relationships" r:id="R29efde3b956849f6"/>
  <x:legacyDrawing xmlns:r="http://schemas.openxmlformats.org/officeDocument/2006/relationships" r:id="R22e8c801a12c4ae8"/>
</x:worksheet>
</file>

<file path=xl/worksheets/sheet4.xml><?xml version="1.0" encoding="utf-8"?>
<x:worksheet xmlns:x="http://schemas.openxmlformats.org/spreadsheetml/2006/main">
  <x:sheetFormatPr baseColWidth="10" defaultColWidth="12.6640625" defaultRowHeight="14"/>
  <x:cols>
    <x:col min="1" max="1" width="6.6640625" customWidth="1"/>
    <x:col min="2" max="2" width="47" customWidth="1"/>
    <x:col min="3" max="3" width="85.1640625" customWidth="1"/>
    <x:col min="4" max="4" width="13.5" customWidth="1"/>
    <x:col min="5" max="5" width="12.5" customWidth="1"/>
    <x:col min="6" max="6" width="37.33203125" customWidth="1"/>
    <x:col min="7" max="7" width="13.1640625" customWidth="1"/>
    <x:col min="8" max="8" width="9.6640625" customWidth="1"/>
    <x:col min="9" max="9" width="10.33203125" customWidth="1"/>
    <x:col min="10" max="10" width="8.6640625" customWidth="1"/>
    <x:col min="11" max="11" width="9.33203125" customWidth="1"/>
    <x:col min="12" max="26" width="8.6640625" customWidth="1"/>
  </x:cols>
  <x:sheetData>
    <x:row r="1" ht="63" customHeight="1">
      <x:c r="A1" s="274" t="s">
        <x:v>43</x:v>
      </x:c>
      <x:c r="B1" s="254"/>
      <x:c r="C1" s="254"/>
      <x:c r="D1" s="254"/>
      <x:c r="E1" s="254"/>
    </x:row>
    <x:row r="2" ht="18" customHeight="1">
      <x:c r="A2" s="275"/>
      <x:c r="B2" s="254"/>
      <x:c r="C2" s="24"/>
      <x:c r="D2" s="24"/>
      <x:c r="E2" s="24"/>
    </x:row>
    <x:row r="3" ht="18" customHeight="1">
      <x:c r="A3" s="23"/>
      <x:c r="B3" s="24"/>
      <x:c r="C3" s="24"/>
      <x:c r="D3" s="24"/>
      <x:c r="E3" s="24"/>
    </x:row>
    <x:row r="4" ht="18" customHeight="1">
      <x:c r="A4" s="24" t="s">
        <x:v>143</x:v>
      </x:c>
      <x:c r="B4" s="25"/>
      <x:c r="C4" s="26"/>
      <x:c r="D4" s="26"/>
      <x:c r="E4" s="26"/>
    </x:row>
    <x:row r="5" ht="28" customHeight="1">
      <x:c r="A5" s="5"/>
      <x:c r="B5" s="27" t="s">
        <x:v>144</x:v>
      </x:c>
      <x:c r="E5" s="28" t="str">
        <x:v>Từ ngày: 07/07/2026</x:v>
      </x:c>
    </x:row>
    <x:row r="6" ht="27" customHeight="1">
      <x:c r="A6" s="5" t="s">
        <x:v>145</x:v>
      </x:c>
      <x:c r="B6" s="27"/>
      <x:c r="E6" s="28" t="str">
        <x:v>Đến ngày: 18/07/2026</x:v>
      </x:c>
    </x:row>
    <x:row r="7" ht="27" customHeight="1">
      <x:c r="A7" s="5"/>
      <x:c r="B7" s="27"/>
      <x:c r="E7" s="28"/>
    </x:row>
    <x:row r="8" ht="27" customHeight="1">
      <x:c r="A8" s="276"/>
      <x:c r="B8" s="254"/>
      <x:c r="C8" s="254"/>
      <x:c r="D8" s="254"/>
      <x:c r="E8" s="254"/>
    </x:row>
    <x:row r="9" ht="18" customHeight="1">
      <x:c r="A9" s="5"/>
      <x:c r="B9" s="5"/>
      <x:c r="C9" s="5"/>
      <x:c r="D9" s="5"/>
      <x:c r="E9" s="5"/>
    </x:row>
    <x:row r="10" ht="18" customHeight="1">
      <x:c r="A10" s="29" t="s">
        <x:v>146</x:v>
      </x:c>
      <x:c r="B10" s="30" t="s">
        <x:v>147</x:v>
      </x:c>
      <x:c r="C10" s="30" t="s">
        <x:v>148</x:v>
      </x:c>
      <x:c r="D10" s="30" t="s">
        <x:v>149</x:v>
      </x:c>
      <x:c r="E10" s="31" t="s">
        <x:v>150</x:v>
      </x:c>
      <x:c r="F10" s="32" t="s">
        <x:v>151</x:v>
      </x:c>
    </x:row>
    <x:row r="11" ht="30" customHeight="1">
      <x:c r="A11" s="33" t="s">
        <x:v>152</x:v>
      </x:c>
      <x:c r="B11" s="277" t="s">
        <x:v>153</x:v>
      </x:c>
      <x:c r="C11" s="278"/>
      <x:c r="D11" s="34"/>
      <x:c r="E11" s="35"/>
      <x:c r="F11" s="35"/>
    </x:row>
    <x:row r="12" ht="39" customHeight="1">
      <x:c r="A12" s="36">
        <x:v>1</x:v>
      </x:c>
      <x:c r="B12" s="37" t="s">
        <x:v>154</x:v>
      </x:c>
      <x:c r="C12" s="37" t="s">
        <x:v>155</x:v>
      </x:c>
      <x:c r="D12" s="197">
        <x:v>3</x:v>
      </x:c>
      <x:c r="E12" s="198">
        <x:v>3</x:v>
      </x:c>
      <x:c r="F12" s="38"/>
    </x:row>
    <x:row r="13" ht="41" customHeight="1">
      <x:c r="A13" s="36" t="n">
        <x:f t="shared" ref="A13:A16" si="0">A12+1</x:f>
        <x:v>2</x:v>
      </x:c>
      <x:c r="B13" s="37" t="s">
        <x:v>156</x:v>
      </x:c>
      <x:c r="C13" s="39" t="s">
        <x:v>157</x:v>
      </x:c>
      <x:c r="D13" s="197">
        <x:v>5</x:v>
      </x:c>
      <x:c r="E13" s="198">
        <x:v>8</x:v>
      </x:c>
      <x:c r="F13" s="38"/>
    </x:row>
    <x:row r="14" ht="39" customHeight="1">
      <x:c r="A14" s="36">
        <x:f t="shared" si="0"/>
        <x:v>3</x:v>
      </x:c>
      <x:c r="B14" s="40" t="s">
        <x:v>158</x:v>
      </x:c>
      <x:c r="C14" s="41" t="s">
        <x:v>159</x:v>
      </x:c>
      <x:c r="D14" s="199">
        <x:v>5</x:v>
      </x:c>
      <x:c r="E14" s="198">
        <x:v>8</x:v>
      </x:c>
      <x:c r="F14" s="38"/>
    </x:row>
    <x:row r="15" ht="39" customHeight="1">
      <x:c r="A15" s="36">
        <x:f t="shared" si="0"/>
        <x:v>4</x:v>
      </x:c>
      <x:c r="B15" s="37" t="s">
        <x:v>160</x:v>
      </x:c>
      <x:c r="C15" s="41" t="s">
        <x:v>161</x:v>
      </x:c>
      <x:c r="D15" s="199">
        <x:v>4</x:v>
      </x:c>
      <x:c r="E15" s="198">
        <x:v>8</x:v>
      </x:c>
      <x:c r="F15" s="38"/>
    </x:row>
    <x:row r="16" ht="39" customHeight="1">
      <x:c r="A16" s="36">
        <x:f t="shared" si="0"/>
        <x:v>5</x:v>
      </x:c>
      <x:c r="B16" s="42" t="s">
        <x:v>162</x:v>
      </x:c>
      <x:c r="C16" s="41" t="s">
        <x:v>163</x:v>
      </x:c>
      <x:c r="D16" s="199">
        <x:v>7</x:v>
      </x:c>
      <x:c r="E16" s="200">
        <x:v>14</x:v>
      </x:c>
      <x:c r="F16" s="43"/>
    </x:row>
    <x:row r="17" ht="31" customHeight="1">
      <x:c r="A17" s="44" t="s">
        <x:v>164</x:v>
      </x:c>
      <x:c r="B17" s="45" t="s">
        <x:v>165</x:v>
      </x:c>
      <x:c r="C17" s="45"/>
      <x:c r="D17" s="201"/>
      <x:c r="E17" s="201"/>
      <x:c r="F17" s="45"/>
    </x:row>
    <x:row r="18" ht="38" customHeight="1">
      <x:c r="A18" s="46">
        <x:v>1</x:v>
      </x:c>
      <x:c r="B18" s="279" t="s">
        <x:v>166</x:v>
      </x:c>
      <x:c r="C18" s="280" t="s">
        <x:v>167</x:v>
      </x:c>
      <x:c r="D18" s="281"/>
      <x:c r="E18" s="281"/>
      <x:c r="F18" s="282"/>
    </x:row>
    <x:row r="19" ht="18" customHeight="1">
      <x:c r="A19" s="47" t="s">
        <x:v>3</x:v>
      </x:c>
      <x:c r="B19" s="47" t="s">
        <x:v>168</x:v>
      </x:c>
      <x:c r="C19" s="47" t="s">
        <x:v>169</x:v>
      </x:c>
      <x:c r="D19" s="202">
        <x:v>5</x:v>
      </x:c>
      <x:c r="E19" s="202">
        <x:v>8</x:v>
      </x:c>
      <x:c r="F19" s="47"/>
    </x:row>
    <x:row r="20" ht="18" customHeight="1">
      <x:c r="A20" s="47" t="s">
        <x:v>5</x:v>
      </x:c>
      <x:c r="B20" s="47" t="s">
        <x:v>170</x:v>
      </x:c>
      <x:c r="C20" s="47" t="s">
        <x:v>171</x:v>
      </x:c>
      <x:c r="D20" s="202">
        <x:v>4</x:v>
      </x:c>
      <x:c r="E20" s="202">
        <x:v>7</x:v>
      </x:c>
      <x:c r="F20" s="47"/>
    </x:row>
    <x:row r="21" ht="18" customHeight="1">
      <x:c r="A21" s="47" t="s">
        <x:v>172</x:v>
      </x:c>
      <x:c r="B21" s="47" t="s">
        <x:v>173</x:v>
      </x:c>
      <x:c r="C21" s="47" t="s">
        <x:v>174</x:v>
      </x:c>
      <x:c r="D21" s="202">
        <x:v>6</x:v>
      </x:c>
      <x:c r="E21" s="202">
        <x:v>10</x:v>
      </x:c>
      <x:c r="F21" s="47"/>
    </x:row>
    <x:row r="22" ht="18" customHeight="1">
      <x:c r="A22" s="47" t="s">
        <x:v>175</x:v>
      </x:c>
      <x:c r="B22" s="47" t="s">
        <x:v>176</x:v>
      </x:c>
      <x:c r="C22" s="47" t="s">
        <x:v>177</x:v>
      </x:c>
      <x:c r="D22" s="202">
        <x:v>4</x:v>
      </x:c>
      <x:c r="E22" s="202">
        <x:v>7</x:v>
      </x:c>
      <x:c r="F22" s="47"/>
    </x:row>
    <x:row r="23" ht="18" customHeight="1">
      <x:c r="A23" s="47">
        <x:v>2</x:v>
      </x:c>
      <x:c r="B23" s="47" t="s">
        <x:v>178</x:v>
      </x:c>
      <x:c r="C23" s="47" t="s">
        <x:v>179</x:v>
      </x:c>
      <x:c r="D23" s="202"/>
      <x:c r="E23" s="202"/>
      <x:c r="F23" s="47"/>
    </x:row>
    <x:row r="24" ht="18" customHeight="1">
      <x:c r="A24" s="47" t="s">
        <x:v>8</x:v>
      </x:c>
      <x:c r="B24" s="47" t="s">
        <x:v>180</x:v>
      </x:c>
      <x:c r="C24" s="47" t="s">
        <x:v>181</x:v>
      </x:c>
      <x:c r="D24" s="202">
        <x:v>5</x:v>
      </x:c>
      <x:c r="E24" s="202">
        <x:v>9</x:v>
      </x:c>
      <x:c r="F24" s="47"/>
    </x:row>
    <x:row r="25" ht="25" customHeight="1">
      <x:c r="A25" s="48" t="s">
        <x:v>10</x:v>
      </x:c>
      <x:c r="B25" s="47" t="s">
        <x:v>182</x:v>
      </x:c>
      <x:c r="C25" s="47" t="s">
        <x:v>183</x:v>
      </x:c>
      <x:c r="D25" s="203">
        <x:v>5</x:v>
      </x:c>
      <x:c r="E25" s="204">
        <x:v>9</x:v>
      </x:c>
      <x:c r="F25" s="47"/>
    </x:row>
    <x:row r="26" ht="18" customHeight="1">
      <x:c r="A26" s="48" t="s">
        <x:v>12</x:v>
      </x:c>
      <x:c r="B26" s="47" t="s">
        <x:v>184</x:v>
      </x:c>
      <x:c r="C26" s="47" t="s">
        <x:v>185</x:v>
      </x:c>
      <x:c r="D26" s="203">
        <x:v>7</x:v>
      </x:c>
      <x:c r="E26" s="204">
        <x:v>14</x:v>
      </x:c>
      <x:c r="F26" s="47"/>
    </x:row>
    <x:row r="27" ht="18" customHeight="1">
      <x:c r="A27" s="47" t="s">
        <x:v>14</x:v>
      </x:c>
      <x:c r="B27" s="47" t="s">
        <x:v>186</x:v>
      </x:c>
      <x:c r="C27" s="47" t="s">
        <x:v>187</x:v>
      </x:c>
      <x:c r="D27" s="202">
        <x:v>4</x:v>
      </x:c>
      <x:c r="E27" s="205">
        <x:v>7</x:v>
      </x:c>
      <x:c r="F27" s="47"/>
    </x:row>
    <x:row r="28" ht="18" customHeight="1">
      <x:c r="A28" s="48" t="s">
        <x:v>16</x:v>
      </x:c>
      <x:c r="B28" s="47" t="s">
        <x:v>188</x:v>
      </x:c>
      <x:c r="C28" s="47" t="s">
        <x:v>189</x:v>
      </x:c>
      <x:c r="D28" s="202">
        <x:v>4</x:v>
      </x:c>
      <x:c r="E28" s="205">
        <x:v>7</x:v>
      </x:c>
      <x:c r="F28" s="47"/>
    </x:row>
    <x:row r="29" ht="18" customHeight="1">
      <x:c r="A29" s="48">
        <x:v>3</x:v>
      </x:c>
      <x:c r="B29" s="47" t="s">
        <x:v>190</x:v>
      </x:c>
      <x:c r="C29" s="47" t="s">
        <x:v>191</x:v>
      </x:c>
      <x:c r="D29" s="202"/>
      <x:c r="E29" s="205"/>
      <x:c r="F29" s="47"/>
    </x:row>
    <x:row r="30" ht="18" customHeight="1">
      <x:c r="A30" s="47" t="s">
        <x:v>19</x:v>
      </x:c>
      <x:c r="B30" s="47" t="s">
        <x:v>192</x:v>
      </x:c>
      <x:c r="C30" s="47" t="s">
        <x:v>193</x:v>
      </x:c>
      <x:c r="D30" s="203">
        <x:v>3</x:v>
      </x:c>
      <x:c r="E30" s="204">
        <x:v>5</x:v>
      </x:c>
      <x:c r="F30" s="47"/>
    </x:row>
    <x:row r="31" ht="18" customHeight="1">
      <x:c r="A31" s="48" t="s">
        <x:v>21</x:v>
      </x:c>
      <x:c r="B31" s="47" t="s">
        <x:v>194</x:v>
      </x:c>
      <x:c r="C31" s="47" t="s">
        <x:v>195</x:v>
      </x:c>
      <x:c r="D31" s="203">
        <x:v>3</x:v>
      </x:c>
      <x:c r="E31" s="204">
        <x:v>5</x:v>
      </x:c>
      <x:c r="F31" s="47"/>
    </x:row>
    <x:row r="32" ht="40" customHeight="1">
      <x:c r="A32" s="46" t="s">
        <x:v>23</x:v>
      </x:c>
      <x:c r="B32" s="283" t="s">
        <x:v>196</x:v>
      </x:c>
      <x:c r="C32" s="280" t="s">
        <x:v>197</x:v>
      </x:c>
      <x:c r="D32" s="281">
        <x:v>6</x:v>
      </x:c>
      <x:c r="E32" s="281">
        <x:v>10</x:v>
      </x:c>
      <x:c r="F32" s="284"/>
    </x:row>
    <x:row r="33" ht="18" customHeight="1">
      <x:c r="A33" s="47" t="s">
        <x:v>198</x:v>
      </x:c>
      <x:c r="B33" s="47" t="s">
        <x:v>199</x:v>
      </x:c>
      <x:c r="C33" s="47" t="s">
        <x:v>200</x:v>
      </x:c>
      <x:c r="D33" s="202">
        <x:v>5</x:v>
      </x:c>
      <x:c r="E33" s="202">
        <x:v>9</x:v>
      </x:c>
      <x:c r="F33" s="47"/>
    </x:row>
    <x:row r="34" ht="18" customHeight="1">
      <x:c r="A34" s="47" t="s">
        <x:v>201</x:v>
      </x:c>
      <x:c r="B34" s="47" t="s">
        <x:v>202</x:v>
      </x:c>
      <x:c r="C34" s="47" t="s">
        <x:v>203</x:v>
      </x:c>
      <x:c r="D34" s="202">
        <x:v>4</x:v>
      </x:c>
      <x:c r="E34" s="202">
        <x:v>7</x:v>
      </x:c>
      <x:c r="F34" s="47"/>
    </x:row>
    <x:row r="35" ht="18" customHeight="1">
      <x:c r="A35" s="47">
        <x:v>4</x:v>
      </x:c>
      <x:c r="B35" s="47" t="s">
        <x:v>204</x:v>
      </x:c>
      <x:c r="C35" s="47" t="s">
        <x:v>205</x:v>
      </x:c>
      <x:c r="D35" s="202"/>
      <x:c r="E35" s="202"/>
      <x:c r="F35" s="47"/>
    </x:row>
    <x:row r="36" ht="18" customHeight="1">
      <x:c r="A36" s="47" t="s">
        <x:v>26</x:v>
      </x:c>
      <x:c r="B36" s="47" t="s">
        <x:v>206</x:v>
      </x:c>
      <x:c r="C36" s="47" t="s">
        <x:v>207</x:v>
      </x:c>
      <x:c r="D36" s="202">
        <x:v>5</x:v>
      </x:c>
      <x:c r="E36" s="202">
        <x:v>9</x:v>
      </x:c>
      <x:c r="F36" s="47"/>
    </x:row>
    <x:row r="37" ht="18" customHeight="1">
      <x:c r="A37" s="47" t="s">
        <x:v>28</x:v>
      </x:c>
      <x:c r="B37" s="47" t="s">
        <x:v>208</x:v>
      </x:c>
      <x:c r="C37" s="47" t="s">
        <x:v>209</x:v>
      </x:c>
      <x:c r="D37" s="202">
        <x:v>3</x:v>
      </x:c>
      <x:c r="E37" s="202">
        <x:v>5</x:v>
      </x:c>
      <x:c r="F37" s="47"/>
    </x:row>
    <x:row r="38" ht="18" customHeight="1">
      <x:c r="A38" s="47" t="s">
        <x:v>30</x:v>
      </x:c>
      <x:c r="B38" s="47" t="s">
        <x:v>210</x:v>
      </x:c>
      <x:c r="C38" s="47" t="s">
        <x:v>211</x:v>
      </x:c>
      <x:c r="D38" s="202">
        <x:v>4</x:v>
      </x:c>
      <x:c r="E38" s="202">
        <x:v>7</x:v>
      </x:c>
      <x:c r="F38" s="47"/>
    </x:row>
    <x:row r="39" ht="18" customHeight="1">
      <x:c r="A39" s="47" t="s">
        <x:v>32</x:v>
      </x:c>
      <x:c r="B39" s="47" t="s">
        <x:v>212</x:v>
      </x:c>
      <x:c r="C39" s="47" t="s">
        <x:v>213</x:v>
      </x:c>
      <x:c r="D39" s="202">
        <x:v>5</x:v>
      </x:c>
      <x:c r="E39" s="202">
        <x:v>9</x:v>
      </x:c>
      <x:c r="F39" s="47"/>
    </x:row>
    <x:row r="40" ht="18" customHeight="1">
      <x:c r="A40" s="49" t="s">
        <x:v>214</x:v>
      </x:c>
      <x:c r="B40" s="47" t="s">
        <x:v>215</x:v>
      </x:c>
      <x:c r="C40" s="47" t="s">
        <x:v>216</x:v>
      </x:c>
      <x:c r="D40" s="203">
        <x:v>5</x:v>
      </x:c>
      <x:c r="E40" s="204">
        <x:v>9</x:v>
      </x:c>
      <x:c r="F40" s="50"/>
    </x:row>
    <x:row r="41" ht="18" customHeight="1">
      <x:c r="A41" s="48" t="s">
        <x:v>217</x:v>
      </x:c>
      <x:c r="B41" s="47" t="s">
        <x:v>218</x:v>
      </x:c>
      <x:c r="C41" s="47" t="s">
        <x:v>219</x:v>
      </x:c>
      <x:c r="D41" s="203">
        <x:v>6</x:v>
      </x:c>
      <x:c r="E41" s="204">
        <x:v>10</x:v>
      </x:c>
      <x:c r="F41" s="50"/>
    </x:row>
    <x:row r="42" ht="18" customHeight="1">
      <x:c r="A42" s="49">
        <x:v>5</x:v>
      </x:c>
      <x:c r="B42" s="47" t="s">
        <x:v>220</x:v>
      </x:c>
      <x:c r="C42" s="47"/>
      <x:c r="D42" s="203"/>
      <x:c r="E42" s="204"/>
      <x:c r="F42" s="50"/>
    </x:row>
    <x:row r="43" ht="18" customHeight="1">
      <x:c r="A43" s="51" t="s">
        <x:v>35</x:v>
      </x:c>
      <x:c r="B43" s="47" t="s">
        <x:v>221</x:v>
      </x:c>
      <x:c r="C43" s="47" t="s">
        <x:v>222</x:v>
      </x:c>
      <x:c r="D43" s="203">
        <x:v>7</x:v>
      </x:c>
      <x:c r="E43" s="204">
        <x:v>12</x:v>
      </x:c>
      <x:c r="F43" s="50"/>
    </x:row>
    <x:row r="44" ht="18" customHeight="1">
      <x:c r="A44" s="51" t="s">
        <x:v>37</x:v>
      </x:c>
      <x:c r="B44" s="47" t="s">
        <x:v>223</x:v>
      </x:c>
      <x:c r="C44" s="47" t="s">
        <x:v>224</x:v>
      </x:c>
      <x:c r="D44" s="203">
        <x:v>5</x:v>
      </x:c>
      <x:c r="E44" s="204">
        <x:v>9</x:v>
      </x:c>
      <x:c r="F44" s="50"/>
    </x:row>
    <x:row r="45" ht="18" customHeight="1">
      <x:c r="A45" s="51" t="s">
        <x:v>39</x:v>
      </x:c>
      <x:c r="B45" s="47" t="s">
        <x:v>225</x:v>
      </x:c>
      <x:c r="C45" s="47" t="s">
        <x:v>226</x:v>
      </x:c>
      <x:c r="D45" s="203">
        <x:v>6</x:v>
      </x:c>
      <x:c r="E45" s="204">
        <x:v>10</x:v>
      </x:c>
      <x:c r="F45" s="50"/>
    </x:row>
    <x:row r="46" ht="18" customHeight="1">
      <x:c r="A46" s="51" t="s">
        <x:v>227</x:v>
      </x:c>
      <x:c r="B46" s="47" t="s">
        <x:v>228</x:v>
      </x:c>
      <x:c r="C46" s="47"/>
      <x:c r="D46" s="203"/>
      <x:c r="E46" s="204"/>
      <x:c r="F46" s="50"/>
    </x:row>
    <x:row r="47" ht="18" customHeight="1">
      <x:c r="A47" s="51" t="s">
        <x:v>229</x:v>
      </x:c>
      <x:c r="B47" s="47" t="s">
        <x:v>230</x:v>
      </x:c>
      <x:c r="C47" s="47" t="s">
        <x:v>231</x:v>
      </x:c>
      <x:c r="D47" s="203">
        <x:v>3</x:v>
      </x:c>
      <x:c r="E47" s="204">
        <x:v>5</x:v>
      </x:c>
      <x:c r="F47" s="50"/>
    </x:row>
    <x:row r="48" ht="40" customHeight="1">
      <x:c r="A48" s="52" t="s">
        <x:v>232</x:v>
      </x:c>
      <x:c r="B48" s="279" t="s">
        <x:v>233</x:v>
      </x:c>
      <x:c r="C48" s="280" t="s">
        <x:v>234</x:v>
      </x:c>
      <x:c r="D48" s="281">
        <x:v>4</x:v>
      </x:c>
      <x:c r="E48" s="281">
        <x:v>7</x:v>
      </x:c>
      <x:c r="F48" s="284"/>
    </x:row>
    <x:row r="49" ht="18" customHeight="1">
      <x:c r="A49" s="53" t="s">
        <x:v>235</x:v>
      </x:c>
      <x:c r="B49" s="54" t="s">
        <x:v>236</x:v>
      </x:c>
      <x:c r="C49" s="54" t="s">
        <x:v>237</x:v>
      </x:c>
      <x:c r="D49" s="206">
        <x:v>3</x:v>
      </x:c>
      <x:c r="E49" s="207">
        <x:v>5</x:v>
      </x:c>
      <x:c r="F49" s="47"/>
    </x:row>
    <x:row r="50" ht="18" customHeight="1">
      <x:c r="A50" s="53" t="s">
        <x:v>238</x:v>
      </x:c>
      <x:c r="B50" s="54" t="s">
        <x:v>239</x:v>
      </x:c>
      <x:c r="C50" s="54" t="s">
        <x:v>240</x:v>
      </x:c>
      <x:c r="D50" s="206">
        <x:v>5</x:v>
      </x:c>
      <x:c r="E50" s="207">
        <x:v>8</x:v>
      </x:c>
      <x:c r="F50" s="47"/>
    </x:row>
    <x:row r="51" ht="18" customHeight="1">
      <x:c r="A51" s="53"/>
      <x:c r="B51" s="54"/>
      <x:c r="C51" s="54"/>
      <x:c r="D51" s="206"/>
      <x:c r="E51" s="207"/>
      <x:c r="F51" s="47"/>
    </x:row>
    <x:row r="52" ht="18" customHeight="1">
      <x:c r="A52" s="53"/>
      <x:c r="B52" s="54"/>
      <x:c r="C52" s="54"/>
      <x:c r="D52" s="206"/>
      <x:c r="E52" s="207"/>
      <x:c r="F52" s="47"/>
      <x:c r="L52" s="55"/>
    </x:row>
    <x:row r="53" ht="30" customHeight="1">
      <x:c r="A53" s="56"/>
      <x:c r="B53" s="57" t="s">
        <x:v>241</x:v>
      </x:c>
      <x:c r="C53" s="57"/>
      <x:c r="D53" s="208" t="n">
        <x:f>SUM(D12:D52)</x:f>
        <x:v>150</x:v>
      </x:c>
      <x:c r="E53" s="209" t="n">
        <x:f>SUM(E12:E52)</x:f>
        <x:v>260</x:v>
      </x:c>
      <x:c r="F53" s="58"/>
    </x:row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B32:F32"/>
    <x:mergeCell ref="B48:F48"/>
    <x:mergeCell ref="A1:E1"/>
    <x:mergeCell ref="A2:B2"/>
    <x:mergeCell ref="A8:E8"/>
    <x:mergeCell ref="B11:C11"/>
    <x:mergeCell ref="B18:F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2.6640625" defaultRowHeight="14"/>
  <x:cols>
    <x:col min="1" max="1" width="5.33203125" customWidth="1"/>
    <x:col min="2" max="2" width="51.1640625" customWidth="1"/>
    <x:col min="3" max="3" width="15" hidden="1" customWidth="1"/>
    <x:col min="4" max="4" width="10.83203125" customWidth="1"/>
    <x:col min="5" max="6" width="10.6640625" customWidth="1"/>
    <x:col min="7" max="8" width="9.83203125" customWidth="1"/>
    <x:col min="9" max="9" width="8.6640625" customWidth="1"/>
    <x:col min="10" max="10" width="11.1640625" hidden="1" customWidth="1"/>
    <x:col min="11" max="11" width="10.6640625" hidden="1" customWidth="1"/>
    <x:col min="12" max="12" width="8.1640625" hidden="1" customWidth="1"/>
    <x:col min="13" max="66" width="3.1640625" customWidth="1"/>
    <x:col min="67" max="67" width="3.5" customWidth="1"/>
    <x:col min="68" max="80" width="9" customWidth="1"/>
  </x:cols>
  <x:sheetData>
    <x:row r="1" ht="18" customHeight="1">
      <x:c r="A1" s="59" t="s">
        <x:v>242</x:v>
      </x:c>
      <x:c r="B1" s="60"/>
      <x:c r="C1" s="60"/>
      <x:c r="D1" s="60"/>
      <x:c r="E1" s="60"/>
      <x:c r="F1" s="61"/>
      <x:c r="G1" s="62"/>
      <x:c r="H1" s="61"/>
      <x:c r="I1" s="61"/>
      <x:c r="J1" s="63"/>
      <x:c r="K1" s="61"/>
      <x:c r="L1" s="61"/>
      <x:c r="M1" s="64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  <x:c r="AC1" s="61"/>
      <x:c r="AD1" s="61"/>
      <x:c r="AE1" s="61"/>
      <x:c r="AF1" s="61"/>
      <x:c r="AG1" s="61"/>
      <x:c r="AH1" s="61"/>
      <x:c r="AI1" s="61"/>
      <x:c r="AJ1" s="61"/>
      <x:c r="AK1" s="61"/>
      <x:c r="AL1" s="61"/>
      <x:c r="AM1" s="61"/>
      <x:c r="AN1" s="61"/>
      <x:c r="AO1" s="61"/>
      <x:c r="AP1" s="61"/>
      <x:c r="AQ1" s="61"/>
      <x:c r="AR1" s="61"/>
      <x:c r="AS1" s="61"/>
      <x:c r="AT1" s="61"/>
      <x:c r="AU1" s="61"/>
      <x:c r="AV1" s="61"/>
      <x:c r="AW1" s="61"/>
      <x:c r="AX1" s="61"/>
      <x:c r="AY1" s="61"/>
      <x:c r="AZ1" s="61"/>
      <x:c r="BA1" s="61"/>
      <x:c r="BB1" s="61"/>
      <x:c r="BC1" s="61"/>
      <x:c r="BD1" s="61"/>
      <x:c r="BE1" s="61"/>
      <x:c r="BF1" s="61"/>
      <x:c r="BG1" s="61"/>
      <x:c r="BH1" s="61"/>
      <x:c r="BI1" s="65" t="s">
        <x:v>243</x:v>
      </x:c>
      <x:c r="BJ1" s="61"/>
      <x:c r="BK1" s="61"/>
      <x:c r="BL1" s="61"/>
      <x:c r="BM1" s="61"/>
      <x:c r="BN1" s="61"/>
      <x:c r="BO1" s="61"/>
    </x:row>
    <x:row r="2" ht="18" customHeight="1">
      <x:c r="A2" s="61" t="s">
        <x:v>143</x:v>
      </x:c>
      <x:c r="B2" s="61"/>
      <x:c r="C2" s="61"/>
      <x:c r="D2" s="61"/>
      <x:c r="E2" s="61"/>
      <x:c r="F2" s="61"/>
      <x:c r="G2" s="63"/>
      <x:c r="H2" s="61"/>
      <x:c r="I2" s="61"/>
      <x:c r="J2" s="63"/>
      <x:c r="K2" s="61"/>
      <x:c r="L2" s="61"/>
      <x:c r="M2" s="66"/>
      <x:c r="N2" s="61"/>
      <x:c r="O2" s="61"/>
      <x:c r="P2" s="61"/>
      <x:c r="Q2" s="61"/>
      <x:c r="R2" s="61"/>
      <x:c r="S2" s="61"/>
      <x:c r="T2" s="61"/>
      <x:c r="U2" s="61"/>
      <x:c r="V2" s="61"/>
      <x:c r="W2" s="61"/>
      <x:c r="X2" s="61"/>
      <x:c r="Y2" s="61"/>
      <x:c r="Z2" s="61"/>
      <x:c r="AA2" s="61"/>
      <x:c r="AB2" s="61"/>
      <x:c r="AC2" s="61"/>
      <x:c r="AD2" s="61"/>
      <x:c r="AE2" s="61"/>
      <x:c r="AF2" s="61"/>
      <x:c r="AG2" s="61"/>
      <x:c r="AH2" s="61"/>
      <x:c r="AI2" s="61"/>
      <x:c r="AJ2" s="61"/>
      <x:c r="AK2" s="61"/>
      <x:c r="AL2" s="61"/>
      <x:c r="AM2" s="61"/>
      <x:c r="AN2" s="61"/>
      <x:c r="AO2" s="61"/>
      <x:c r="AP2" s="61"/>
      <x:c r="AQ2" s="61"/>
      <x:c r="AR2" s="61"/>
      <x:c r="AS2" s="61"/>
      <x:c r="AT2" s="61"/>
      <x:c r="AU2" s="61"/>
      <x:c r="AV2" s="61"/>
      <x:c r="AW2" s="61"/>
      <x:c r="AX2" s="61"/>
      <x:c r="AY2" s="61"/>
      <x:c r="AZ2" s="61"/>
      <x:c r="BA2" s="61"/>
      <x:c r="BB2" s="61"/>
      <x:c r="BC2" s="61"/>
      <x:c r="BD2" s="61"/>
      <x:c r="BE2" s="61"/>
      <x:c r="BF2" s="61"/>
      <x:c r="BG2" s="61"/>
      <x:c r="BH2" s="61"/>
      <x:c r="BI2" s="61"/>
      <x:c r="BJ2" s="61"/>
      <x:c r="BK2" s="61"/>
      <x:c r="BL2" s="61"/>
      <x:c r="BM2" s="61"/>
      <x:c r="BN2" s="61"/>
      <x:c r="BO2" s="61"/>
    </x:row>
    <x:row r="3" ht="18" customHeight="1">
      <x:c r="A3" s="61" t="s">
        <x:v>244</x:v>
      </x:c>
      <x:c r="B3" s="61"/>
      <x:c r="C3" s="61"/>
      <x:c r="D3" s="61"/>
      <x:c r="E3" s="61"/>
      <x:c r="F3" s="67" t="s">
        <x:v>245</x:v>
      </x:c>
      <x:c r="G3" s="285" t="n">
        <x:v>46210</x:v>
      </x:c>
      <x:c r="H3" s="286"/>
      <x:c r="I3" s="61"/>
      <x:c r="J3" s="63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  <x:c r="Z3" s="61"/>
      <x:c r="AA3" s="61"/>
      <x:c r="AB3" s="61"/>
      <x:c r="AC3" s="61"/>
      <x:c r="AD3" s="61"/>
      <x:c r="AE3" s="61"/>
      <x:c r="AF3" s="61"/>
      <x:c r="AG3" s="61"/>
      <x:c r="AH3" s="61"/>
      <x:c r="AI3" s="61"/>
      <x:c r="AJ3" s="61"/>
      <x:c r="AK3" s="61"/>
      <x:c r="AL3" s="61"/>
      <x:c r="AM3" s="61"/>
      <x:c r="AN3" s="61"/>
      <x:c r="AO3" s="61"/>
      <x:c r="AP3" s="61"/>
      <x:c r="AQ3" s="61"/>
      <x:c r="AR3" s="61"/>
      <x:c r="AS3" s="61"/>
      <x:c r="AT3" s="61"/>
      <x:c r="AU3" s="61"/>
      <x:c r="AV3" s="61"/>
      <x:c r="AW3" s="61"/>
      <x:c r="AX3" s="61"/>
      <x:c r="AY3" s="61"/>
      <x:c r="AZ3" s="61"/>
      <x:c r="BA3" s="61"/>
      <x:c r="BB3" s="61"/>
      <x:c r="BC3" s="61"/>
      <x:c r="BD3" s="61"/>
      <x:c r="BE3" s="61"/>
      <x:c r="BF3" s="61"/>
      <x:c r="BG3" s="61"/>
      <x:c r="BH3" s="61"/>
      <x:c r="BI3" s="61"/>
      <x:c r="BJ3" s="61"/>
      <x:c r="BK3" s="61"/>
      <x:c r="BL3" s="61"/>
      <x:c r="BM3" s="61"/>
      <x:c r="BN3" s="61"/>
      <x:c r="BO3" s="61"/>
    </x:row>
    <x:row r="4" ht="18" customHeight="1">
      <x:c r="A4" s="67"/>
      <x:c r="B4" s="61"/>
      <x:c r="C4" s="61"/>
      <x:c r="D4" s="61"/>
      <x:c r="E4" s="61"/>
      <x:c r="F4" s="67" t="s">
        <x:v>246</x:v>
      </x:c>
      <x:c r="G4" s="68" t="s">
        <x:v>247</x:v>
      </x:c>
      <x:c r="H4" s="61"/>
      <x:c r="I4" s="61"/>
      <x:c r="J4" s="63"/>
      <x:c r="K4" s="61"/>
      <x:c r="L4" s="61"/>
      <x:c r="M4" s="61"/>
      <x:c r="N4" s="61"/>
      <x:c r="O4" s="61"/>
      <x:c r="P4" s="61"/>
      <x:c r="Q4" s="61"/>
      <x:c r="R4" s="61"/>
      <x:c r="S4" s="61"/>
      <x:c r="T4" s="61"/>
      <x:c r="U4" s="61"/>
      <x:c r="V4" s="61"/>
      <x:c r="W4" s="61"/>
      <x:c r="X4" s="61"/>
      <x:c r="Y4" s="61"/>
      <x:c r="Z4" s="61"/>
      <x:c r="AA4" s="61"/>
      <x:c r="AB4" s="61"/>
      <x:c r="AC4" s="61"/>
      <x:c r="AD4" s="61"/>
      <x:c r="AE4" s="61"/>
      <x:c r="AF4" s="61"/>
      <x:c r="AG4" s="61"/>
      <x:c r="AH4" s="61"/>
      <x:c r="AI4" s="61"/>
      <x:c r="AJ4" s="61"/>
      <x:c r="AK4" s="61"/>
      <x:c r="AL4" s="61"/>
      <x:c r="AM4" s="61"/>
      <x:c r="AN4" s="61"/>
      <x:c r="AO4" s="61"/>
      <x:c r="AP4" s="61"/>
      <x:c r="AQ4" s="61"/>
      <x:c r="AR4" s="61"/>
      <x:c r="AS4" s="61"/>
      <x:c r="AT4" s="61"/>
      <x:c r="AU4" s="61"/>
      <x:c r="AV4" s="61"/>
      <x:c r="AW4" s="61"/>
      <x:c r="AX4" s="61"/>
      <x:c r="AY4" s="61"/>
      <x:c r="AZ4" s="61"/>
      <x:c r="BA4" s="61"/>
      <x:c r="BB4" s="61"/>
      <x:c r="BC4" s="61"/>
      <x:c r="BD4" s="61"/>
      <x:c r="BE4" s="61"/>
      <x:c r="BF4" s="61"/>
      <x:c r="BG4" s="61"/>
      <x:c r="BH4" s="61"/>
      <x:c r="BI4" s="61"/>
      <x:c r="BJ4" s="61"/>
      <x:c r="BK4" s="61"/>
      <x:c r="BL4" s="61"/>
      <x:c r="BM4" s="61"/>
      <x:c r="BN4" s="61"/>
      <x:c r="BO4" s="61"/>
    </x:row>
    <x:row r="5" ht="18" customHeight="1">
      <x:c r="A5" s="67"/>
      <x:c r="B5" s="61"/>
      <x:c r="C5" s="61"/>
      <x:c r="D5" s="61"/>
      <x:c r="E5" s="61"/>
      <x:c r="F5" s="67" t="s">
        <x:v>248</x:v>
      </x:c>
      <x:c r="G5" s="69">
        <x:v>1</x:v>
      </x:c>
      <x:c r="H5" s="61"/>
      <x:c r="I5" s="61"/>
      <x:c r="J5" s="63"/>
      <x:c r="K5" s="61"/>
      <x:c r="L5" s="61"/>
      <x:c r="M5" s="70" t="n">
        <x:f>IF(G4="Weekly",G3+7*(G5-1),IF(G4="Daily",G3+(G5-1),IF(G4="Monthly",EDATE($G$3,($G$5-1)),EDATE($G$3,3*($G$5-1)))))</x:f>
        <x:v>46210</x:v>
      </x:c>
      <x:c r="N5" s="70" t="n">
        <x:f t="shared" ref="N5:BO5" si="0">IF($G$4="Daily",M5+1,IF($G$4="Weekly",M5+7,IF($G$4="Monthly",EDATE($G$3,N7-1),EDATE($G$3,3*(N7-1)))))</x:f>
        <x:v>46217</x:v>
      </x:c>
      <x:c r="O5" s="70">
        <x:f t="shared" si="0"/>
        <x:v>46231</x:v>
      </x:c>
      <x:c r="P5" s="70">
        <x:f t="shared" si="0"/>
        <x:v>46238</x:v>
      </x:c>
      <x:c r="Q5" s="70">
        <x:f t="shared" si="0"/>
        <x:v>46245</x:v>
      </x:c>
      <x:c r="R5" s="70">
        <x:f t="shared" si="0"/>
        <x:v>46252</x:v>
      </x:c>
      <x:c r="S5" s="70">
        <x:f t="shared" si="0"/>
        <x:v>46259</x:v>
      </x:c>
      <x:c r="T5" s="70">
        <x:f t="shared" si="0"/>
        <x:v>46266</x:v>
      </x:c>
      <x:c r="U5" s="70">
        <x:f t="shared" si="0"/>
        <x:v>46273</x:v>
      </x:c>
      <x:c r="V5" s="70">
        <x:f t="shared" si="0"/>
        <x:v>46280</x:v>
      </x:c>
      <x:c r="W5" s="70">
        <x:f t="shared" si="0"/>
        <x:v>46287</x:v>
      </x:c>
      <x:c r="X5" s="70">
        <x:f t="shared" si="0"/>
        <x:v>46294</x:v>
      </x:c>
      <x:c r="Y5" s="70">
        <x:f t="shared" si="0"/>
        <x:v>46301</x:v>
      </x:c>
      <x:c r="Z5" s="70">
        <x:f t="shared" si="0"/>
        <x:v>46308</x:v>
      </x:c>
      <x:c r="AA5" s="70">
        <x:f t="shared" si="0"/>
        <x:v>46315</x:v>
      </x:c>
      <x:c r="AB5" s="70">
        <x:f t="shared" si="0"/>
        <x:v>46322</x:v>
      </x:c>
      <x:c r="AC5" s="70">
        <x:f t="shared" si="0"/>
        <x:v>46329</x:v>
      </x:c>
      <x:c r="AD5" s="70">
        <x:f t="shared" si="0"/>
        <x:v>46336</x:v>
      </x:c>
      <x:c r="AE5" s="70">
        <x:f t="shared" si="0"/>
        <x:v>46343</x:v>
      </x:c>
      <x:c r="AF5" s="70">
        <x:f t="shared" si="0"/>
        <x:v>46350</x:v>
      </x:c>
      <x:c r="AG5" s="70">
        <x:f t="shared" si="0"/>
        <x:v>46357</x:v>
      </x:c>
      <x:c r="AH5" s="70">
        <x:f t="shared" si="0"/>
        <x:v>46364</x:v>
      </x:c>
      <x:c r="AI5" s="70">
        <x:f t="shared" si="0"/>
        <x:v>46371</x:v>
      </x:c>
      <x:c r="AJ5" s="70">
        <x:f t="shared" si="0"/>
        <x:v>46378</x:v>
      </x:c>
      <x:c r="AK5" s="70">
        <x:f t="shared" si="0"/>
        <x:v>46385</x:v>
      </x:c>
      <x:c r="AL5" s="70">
        <x:f t="shared" si="0"/>
        <x:v>46392</x:v>
      </x:c>
      <x:c r="AM5" s="70">
        <x:f t="shared" si="0"/>
        <x:v>46399</x:v>
      </x:c>
      <x:c r="AN5" s="70">
        <x:f t="shared" si="0"/>
        <x:v>46406</x:v>
      </x:c>
      <x:c r="AO5" s="70">
        <x:f t="shared" si="0"/>
        <x:v>46413</x:v>
      </x:c>
      <x:c r="AP5" s="70">
        <x:f t="shared" si="0"/>
        <x:v>46420</x:v>
      </x:c>
      <x:c r="AQ5" s="70">
        <x:f t="shared" si="0"/>
        <x:v>46427</x:v>
      </x:c>
      <x:c r="AR5" s="70">
        <x:f t="shared" si="0"/>
        <x:v>46434</x:v>
      </x:c>
      <x:c r="AS5" s="70">
        <x:f t="shared" si="0"/>
        <x:v>46441</x:v>
      </x:c>
      <x:c r="AT5" s="70">
        <x:f t="shared" si="0"/>
        <x:v>46448</x:v>
      </x:c>
      <x:c r="AU5" s="70">
        <x:f t="shared" si="0"/>
        <x:v>46455</x:v>
      </x:c>
      <x:c r="AV5" s="70">
        <x:f t="shared" si="0"/>
        <x:v>46462</x:v>
      </x:c>
      <x:c r="AW5" s="70">
        <x:f t="shared" si="0"/>
        <x:v>46469</x:v>
      </x:c>
      <x:c r="AX5" s="70">
        <x:f t="shared" si="0"/>
        <x:v>46476</x:v>
      </x:c>
      <x:c r="AY5" s="70">
        <x:f t="shared" si="0"/>
        <x:v>46483</x:v>
      </x:c>
      <x:c r="AZ5" s="70">
        <x:f t="shared" si="0"/>
        <x:v>46490</x:v>
      </x:c>
      <x:c r="BA5" s="70">
        <x:f t="shared" si="0"/>
        <x:v>46497</x:v>
      </x:c>
      <x:c r="BB5" s="70">
        <x:f t="shared" si="0"/>
        <x:v>46504</x:v>
      </x:c>
      <x:c r="BC5" s="70">
        <x:f t="shared" si="0"/>
        <x:v>46511</x:v>
      </x:c>
      <x:c r="BD5" s="70">
        <x:f t="shared" si="0"/>
        <x:v>46518</x:v>
      </x:c>
      <x:c r="BE5" s="70">
        <x:f t="shared" si="0"/>
        <x:v>46525</x:v>
      </x:c>
      <x:c r="BF5" s="70">
        <x:f t="shared" si="0"/>
        <x:v>46532</x:v>
      </x:c>
      <x:c r="BG5" s="70">
        <x:f t="shared" si="0"/>
        <x:v>46539</x:v>
      </x:c>
      <x:c r="BH5" s="70">
        <x:f t="shared" si="0"/>
        <x:v>46546</x:v>
      </x:c>
      <x:c r="BI5" s="70">
        <x:f t="shared" si="0"/>
        <x:v>46553</x:v>
      </x:c>
      <x:c r="BJ5" s="70">
        <x:f t="shared" si="0"/>
        <x:v>46560</x:v>
      </x:c>
      <x:c r="BK5" s="70">
        <x:f t="shared" si="0"/>
        <x:v>46567</x:v>
      </x:c>
      <x:c r="BL5" s="70">
        <x:f t="shared" si="0"/>
        <x:v>46574</x:v>
      </x:c>
      <x:c r="BM5" s="70">
        <x:f t="shared" si="0"/>
        <x:v>46581</x:v>
      </x:c>
      <x:c r="BN5" s="70">
        <x:f t="shared" si="0"/>
        <x:v>46588</x:v>
      </x:c>
      <x:c r="BO5" s="70">
        <x:f t="shared" si="0"/>
        <x:v>46595</x:v>
      </x:c>
    </x:row>
    <x:row r="6" ht="60" customHeight="1">
      <x:c r="A6" s="287"/>
      <x:c r="B6" s="254"/>
      <x:c r="C6" s="254"/>
      <x:c r="D6" s="254"/>
      <x:c r="E6" s="254"/>
      <x:c r="F6" s="254"/>
      <x:c r="G6" s="254"/>
      <x:c r="H6" s="254"/>
      <x:c r="I6" s="254"/>
      <x:c r="J6" s="63"/>
      <x:c r="K6" s="61"/>
      <x:c r="L6" s="61"/>
      <x:c r="M6" s="71" t="str">
        <x:f t="shared" ref="M6:BO6" si="1">DAY(M5)&amp;CHAR(10)&amp;LEFT(TEXT(M5,"mmm"),3)&amp;CHAR(10)&amp;"'"&amp;RIGHT(YEAR(M5),2)</x:f>
        <x:v>7
Jul
'26</x:v>
      </x:c>
      <x:c r="N6" s="71" t="str">
        <x:f t="shared" si="1"/>
        <x:v>21
Jul
'26</x:v>
      </x:c>
      <x:c r="O6" s="71" t="str">
        <x:f t="shared" si="1"/>
        <x:v>28
Jul
'26</x:v>
      </x:c>
      <x:c r="P6" s="71" t="str">
        <x:f t="shared" si="1"/>
        <x:v>4
Aug
'26</x:v>
      </x:c>
      <x:c r="Q6" s="71" t="str">
        <x:f t="shared" si="1"/>
        <x:v>11
Aug
'26</x:v>
      </x:c>
      <x:c r="R6" s="71" t="str">
        <x:f t="shared" si="1"/>
        <x:v>18
Aug
'26</x:v>
      </x:c>
      <x:c r="S6" s="71" t="str">
        <x:f t="shared" si="1"/>
        <x:v>25
Aug
'26</x:v>
      </x:c>
      <x:c r="T6" s="71" t="str">
        <x:f t="shared" si="1"/>
        <x:v>1
Sep
'26</x:v>
      </x:c>
      <x:c r="U6" s="71" t="str">
        <x:f t="shared" si="1"/>
        <x:v>8
Sep
'26</x:v>
      </x:c>
      <x:c r="V6" s="71" t="str">
        <x:f t="shared" si="1"/>
        <x:v>15
Sep
'26</x:v>
      </x:c>
      <x:c r="W6" s="71" t="str">
        <x:f t="shared" si="1"/>
        <x:v>22
Sep
'26</x:v>
      </x:c>
      <x:c r="X6" s="71" t="str">
        <x:f t="shared" si="1"/>
        <x:v>29
Sep
'26</x:v>
      </x:c>
      <x:c r="Y6" s="71" t="str">
        <x:f t="shared" si="1"/>
        <x:v>6
Oct
'26</x:v>
      </x:c>
      <x:c r="Z6" s="71" t="str">
        <x:f t="shared" si="1"/>
        <x:v>13
Oct
'26</x:v>
      </x:c>
      <x:c r="AA6" s="71" t="str">
        <x:f t="shared" si="1"/>
        <x:v>20
Oct
'26</x:v>
      </x:c>
      <x:c r="AB6" s="71" t="str">
        <x:f t="shared" si="1"/>
        <x:v>27
Oct
'26</x:v>
      </x:c>
      <x:c r="AC6" s="71" t="str">
        <x:f t="shared" si="1"/>
        <x:v>3
Nov
'26</x:v>
      </x:c>
      <x:c r="AD6" s="71" t="str">
        <x:f t="shared" si="1"/>
        <x:v>10
Nov
'26</x:v>
      </x:c>
      <x:c r="AE6" s="71" t="str">
        <x:f t="shared" si="1"/>
        <x:v>17
Nov
'26</x:v>
      </x:c>
      <x:c r="AF6" s="71" t="str">
        <x:f t="shared" si="1"/>
        <x:v>24
Nov
'26</x:v>
      </x:c>
      <x:c r="AG6" s="71" t="str">
        <x:f t="shared" si="1"/>
        <x:v>1
Dec
'26</x:v>
      </x:c>
      <x:c r="AH6" s="71" t="str">
        <x:f t="shared" si="1"/>
        <x:v>8
Dec
'26</x:v>
      </x:c>
      <x:c r="AI6" s="71" t="str">
        <x:f t="shared" si="1"/>
        <x:v>15
Dec
'26</x:v>
      </x:c>
      <x:c r="AJ6" s="71" t="str">
        <x:f t="shared" si="1"/>
        <x:v>22
Dec
'26</x:v>
      </x:c>
      <x:c r="AK6" s="71" t="str">
        <x:f t="shared" si="1"/>
        <x:v>29
Dec
'26</x:v>
      </x:c>
      <x:c r="AL6" s="71" t="str">
        <x:f t="shared" si="1"/>
        <x:v>5
Jan
'27</x:v>
      </x:c>
      <x:c r="AM6" s="71" t="str">
        <x:f t="shared" si="1"/>
        <x:v>12
Jan
'27</x:v>
      </x:c>
      <x:c r="AN6" s="71" t="str">
        <x:f t="shared" si="1"/>
        <x:v>19
Jan
'27</x:v>
      </x:c>
      <x:c r="AO6" s="71" t="str">
        <x:f t="shared" si="1"/>
        <x:v>26
Jan
'27</x:v>
      </x:c>
      <x:c r="AP6" s="71" t="str">
        <x:f t="shared" si="1"/>
        <x:v>2
Feb
'27</x:v>
      </x:c>
      <x:c r="AQ6" s="71" t="str">
        <x:f t="shared" si="1"/>
        <x:v>9
Feb
'27</x:v>
      </x:c>
      <x:c r="AR6" s="71" t="str">
        <x:f t="shared" si="1"/>
        <x:v>16
Feb
'27</x:v>
      </x:c>
      <x:c r="AS6" s="71" t="str">
        <x:f t="shared" si="1"/>
        <x:v>23
Feb
'27</x:v>
      </x:c>
      <x:c r="AT6" s="71" t="str">
        <x:f t="shared" si="1"/>
        <x:v>2
Mar
'27</x:v>
      </x:c>
      <x:c r="AU6" s="71" t="str">
        <x:f t="shared" si="1"/>
        <x:v>9
Mar
'27</x:v>
      </x:c>
      <x:c r="AV6" s="71" t="str">
        <x:f t="shared" si="1"/>
        <x:v>16
Mar
'27</x:v>
      </x:c>
      <x:c r="AW6" s="71" t="str">
        <x:f t="shared" si="1"/>
        <x:v>23
Mar
'27</x:v>
      </x:c>
      <x:c r="AX6" s="71" t="str">
        <x:f t="shared" si="1"/>
        <x:v>30
Mar
'27</x:v>
      </x:c>
      <x:c r="AY6" s="71" t="str">
        <x:f t="shared" si="1"/>
        <x:v>6
Apr
'27</x:v>
      </x:c>
      <x:c r="AZ6" s="71" t="str">
        <x:f t="shared" si="1"/>
        <x:v>13
Apr
'27</x:v>
      </x:c>
      <x:c r="BA6" s="71" t="str">
        <x:f t="shared" si="1"/>
        <x:v>20
Apr
'27</x:v>
      </x:c>
      <x:c r="BB6" s="71" t="str">
        <x:f t="shared" si="1"/>
        <x:v>27
Apr
'27</x:v>
      </x:c>
      <x:c r="BC6" s="71" t="str">
        <x:f t="shared" si="1"/>
        <x:v>4
May
'27</x:v>
      </x:c>
      <x:c r="BD6" s="71" t="str">
        <x:f t="shared" si="1"/>
        <x:v>11
May
'27</x:v>
      </x:c>
      <x:c r="BE6" s="71" t="str">
        <x:f t="shared" si="1"/>
        <x:v>18
May
'27</x:v>
      </x:c>
      <x:c r="BF6" s="71" t="str">
        <x:f t="shared" si="1"/>
        <x:v>25
May
'27</x:v>
      </x:c>
      <x:c r="BG6" s="71" t="str">
        <x:f t="shared" si="1"/>
        <x:v>1
Jun
'27</x:v>
      </x:c>
      <x:c r="BH6" s="71" t="str">
        <x:f t="shared" si="1"/>
        <x:v>8
Jun
'27</x:v>
      </x:c>
      <x:c r="BI6" s="71" t="str">
        <x:f t="shared" si="1"/>
        <x:v>15
Jun
'27</x:v>
      </x:c>
      <x:c r="BJ6" s="71" t="str">
        <x:f t="shared" si="1"/>
        <x:v>22
Jun
'27</x:v>
      </x:c>
      <x:c r="BK6" s="71" t="str">
        <x:f t="shared" si="1"/>
        <x:v>29
Jun
'27</x:v>
      </x:c>
      <x:c r="BL6" s="71" t="str">
        <x:f t="shared" si="1"/>
        <x:v>6
Jul
'27</x:v>
      </x:c>
      <x:c r="BM6" s="71" t="str">
        <x:f t="shared" si="1"/>
        <x:v>13
Jul
'27</x:v>
      </x:c>
      <x:c r="BN6" s="71" t="str">
        <x:f t="shared" si="1"/>
        <x:v>20
Jul
'27</x:v>
      </x:c>
      <x:c r="BO6" s="71" t="str">
        <x:f t="shared" si="1"/>
        <x:v>27
Jul
'27</x:v>
      </x:c>
    </x:row>
    <x:row r="7" ht="18" customHeight="1">
      <x:c r="A7" s="72" t="s">
        <x:v>146</x:v>
      </x:c>
      <x:c r="B7" s="73" t="s">
        <x:v>249</x:v>
      </x:c>
      <x:c r="C7" s="73" t="s">
        <x:v>250</x:v>
      </x:c>
      <x:c r="D7" s="74" t="s">
        <x:v>251</x:v>
      </x:c>
      <x:c r="E7" s="74" t="s">
        <x:v>252</x:v>
      </x:c>
      <x:c r="F7" s="74" t="s">
        <x:v>253</x:v>
      </x:c>
      <x:c r="G7" s="75" t="s">
        <x:v>254</x:v>
      </x:c>
      <x:c r="H7" s="75" t="s">
        <x:v>255</x:v>
      </x:c>
      <x:c r="I7" s="75" t="s">
        <x:v>256</x:v>
      </x:c>
      <x:c r="J7" s="74" t="s">
        <x:v>257</x:v>
      </x:c>
      <x:c r="K7" s="74" t="s">
        <x:v>258</x:v>
      </x:c>
      <x:c r="L7" s="74" t="s">
        <x:v>259</x:v>
      </x:c>
      <x:c r="M7" s="76" t="n">
        <x:f>G5</x:f>
        <x:v>1</x:v>
      </x:c>
      <x:c r="N7" s="76" t="n">
        <x:f t="shared" ref="N7:BO7" si="2">M7+1</x:f>
        <x:v>2</x:v>
      </x:c>
      <x:c r="O7" s="76">
        <x:f t="shared" si="2"/>
        <x:v>3</x:v>
      </x:c>
      <x:c r="P7" s="76">
        <x:f t="shared" si="2"/>
        <x:v>4</x:v>
      </x:c>
      <x:c r="Q7" s="76">
        <x:f t="shared" si="2"/>
        <x:v>5</x:v>
      </x:c>
      <x:c r="R7" s="76">
        <x:f t="shared" si="2"/>
        <x:v>6</x:v>
      </x:c>
      <x:c r="S7" s="76">
        <x:f t="shared" si="2"/>
        <x:v>7</x:v>
      </x:c>
      <x:c r="T7" s="76">
        <x:f t="shared" si="2"/>
        <x:v>8</x:v>
      </x:c>
      <x:c r="U7" s="76">
        <x:f t="shared" si="2"/>
        <x:v>9</x:v>
      </x:c>
      <x:c r="V7" s="76">
        <x:f t="shared" si="2"/>
        <x:v>10</x:v>
      </x:c>
      <x:c r="W7" s="76">
        <x:f t="shared" si="2"/>
        <x:v>11</x:v>
      </x:c>
      <x:c r="X7" s="76">
        <x:f t="shared" si="2"/>
        <x:v>12</x:v>
      </x:c>
      <x:c r="Y7" s="76">
        <x:f t="shared" si="2"/>
        <x:v>13</x:v>
      </x:c>
      <x:c r="Z7" s="76">
        <x:f t="shared" si="2"/>
        <x:v>14</x:v>
      </x:c>
      <x:c r="AA7" s="76">
        <x:f t="shared" si="2"/>
        <x:v>15</x:v>
      </x:c>
      <x:c r="AB7" s="76">
        <x:f t="shared" si="2"/>
        <x:v>16</x:v>
      </x:c>
      <x:c r="AC7" s="76">
        <x:f t="shared" si="2"/>
        <x:v>17</x:v>
      </x:c>
      <x:c r="AD7" s="76">
        <x:f t="shared" si="2"/>
        <x:v>18</x:v>
      </x:c>
      <x:c r="AE7" s="76">
        <x:f t="shared" si="2"/>
        <x:v>19</x:v>
      </x:c>
      <x:c r="AF7" s="76">
        <x:f t="shared" si="2"/>
        <x:v>20</x:v>
      </x:c>
      <x:c r="AG7" s="76">
        <x:f t="shared" si="2"/>
        <x:v>21</x:v>
      </x:c>
      <x:c r="AH7" s="76">
        <x:f t="shared" si="2"/>
        <x:v>22</x:v>
      </x:c>
      <x:c r="AI7" s="76">
        <x:f t="shared" si="2"/>
        <x:v>23</x:v>
      </x:c>
      <x:c r="AJ7" s="76">
        <x:f t="shared" si="2"/>
        <x:v>24</x:v>
      </x:c>
      <x:c r="AK7" s="76">
        <x:f t="shared" si="2"/>
        <x:v>25</x:v>
      </x:c>
      <x:c r="AL7" s="76">
        <x:f t="shared" si="2"/>
        <x:v>26</x:v>
      </x:c>
      <x:c r="AM7" s="76">
        <x:f t="shared" si="2"/>
        <x:v>27</x:v>
      </x:c>
      <x:c r="AN7" s="76">
        <x:f t="shared" si="2"/>
        <x:v>28</x:v>
      </x:c>
      <x:c r="AO7" s="76">
        <x:f t="shared" si="2"/>
        <x:v>29</x:v>
      </x:c>
      <x:c r="AP7" s="76">
        <x:f t="shared" si="2"/>
        <x:v>30</x:v>
      </x:c>
      <x:c r="AQ7" s="76">
        <x:f t="shared" si="2"/>
        <x:v>31</x:v>
      </x:c>
      <x:c r="AR7" s="76">
        <x:f t="shared" si="2"/>
        <x:v>32</x:v>
      </x:c>
      <x:c r="AS7" s="76">
        <x:f t="shared" si="2"/>
        <x:v>33</x:v>
      </x:c>
      <x:c r="AT7" s="76">
        <x:f t="shared" si="2"/>
        <x:v>34</x:v>
      </x:c>
      <x:c r="AU7" s="76">
        <x:f t="shared" si="2"/>
        <x:v>35</x:v>
      </x:c>
      <x:c r="AV7" s="76">
        <x:f t="shared" si="2"/>
        <x:v>36</x:v>
      </x:c>
      <x:c r="AW7" s="76">
        <x:f t="shared" si="2"/>
        <x:v>37</x:v>
      </x:c>
      <x:c r="AX7" s="76">
        <x:f t="shared" si="2"/>
        <x:v>38</x:v>
      </x:c>
      <x:c r="AY7" s="76">
        <x:f t="shared" si="2"/>
        <x:v>39</x:v>
      </x:c>
      <x:c r="AZ7" s="76">
        <x:f t="shared" si="2"/>
        <x:v>40</x:v>
      </x:c>
      <x:c r="BA7" s="76">
        <x:f t="shared" si="2"/>
        <x:v>41</x:v>
      </x:c>
      <x:c r="BB7" s="76">
        <x:f t="shared" si="2"/>
        <x:v>42</x:v>
      </x:c>
      <x:c r="BC7" s="76">
        <x:f t="shared" si="2"/>
        <x:v>43</x:v>
      </x:c>
      <x:c r="BD7" s="76">
        <x:f t="shared" si="2"/>
        <x:v>44</x:v>
      </x:c>
      <x:c r="BE7" s="76">
        <x:f t="shared" si="2"/>
        <x:v>45</x:v>
      </x:c>
      <x:c r="BF7" s="76">
        <x:f t="shared" si="2"/>
        <x:v>46</x:v>
      </x:c>
      <x:c r="BG7" s="76">
        <x:f t="shared" si="2"/>
        <x:v>47</x:v>
      </x:c>
      <x:c r="BH7" s="76">
        <x:f t="shared" si="2"/>
        <x:v>48</x:v>
      </x:c>
      <x:c r="BI7" s="76">
        <x:f t="shared" si="2"/>
        <x:v>49</x:v>
      </x:c>
      <x:c r="BJ7" s="76">
        <x:f t="shared" si="2"/>
        <x:v>50</x:v>
      </x:c>
      <x:c r="BK7" s="76">
        <x:f t="shared" si="2"/>
        <x:v>51</x:v>
      </x:c>
      <x:c r="BL7" s="76">
        <x:f t="shared" si="2"/>
        <x:v>52</x:v>
      </x:c>
      <x:c r="BM7" s="76">
        <x:f t="shared" si="2"/>
        <x:v>53</x:v>
      </x:c>
      <x:c r="BN7" s="76">
        <x:f t="shared" si="2"/>
        <x:v>54</x:v>
      </x:c>
      <x:c r="BO7" s="76">
        <x:f t="shared" si="2"/>
        <x:v>55</x:v>
      </x:c>
    </x:row>
    <x:row r="8" ht="18" customHeight="1">
      <x:c r="A8" s="77" t="s">
        <x:v>152</x:v>
      </x:c>
      <x:c r="B8" s="216" t="s">
        <x:v>260</x:v>
      </x:c>
      <x:c r="C8" s="216" t="s">
        <x:v>261</x:v>
      </x:c>
      <x:c r="D8" s="77" t="s">
        <x:v>93</x:v>
      </x:c>
      <x:c r="E8" s="77" t="s">
        <x:v>262</x:v>
      </x:c>
      <x:c r="F8" s="78">
        <x:v>1</x:v>
      </x:c>
      <x:c r="G8" s="210" t="n">
        <x:v>46210</x:v>
      </x:c>
      <x:c r="H8" s="210" t="n">
        <x:v>46211</x:v>
      </x:c>
      <x:c r="I8" s="77" t="n">
        <x:f t="shared" ref="I8:I9" si="3">IF(OR(ISBLANK(G8),ISBLANK(H8)),"",H8-G8+1)</x:f>
        <x:v>2</x:v>
      </x:c>
      <x:c r="J8" s="210"/>
      <x:c r="K8" s="210"/>
      <x:c r="L8" s="77" t="str">
        <x:f t="shared" ref="L8:L11" si="4">IF(OR(ISBLANK(J8),ISBLANK(K8)),"",K8-J8+1)</x:f>
      </x:c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  <x:c r="AJ8" s="79"/>
      <x:c r="AK8" s="79"/>
      <x:c r="AL8" s="79"/>
      <x:c r="AM8" s="79"/>
      <x:c r="AN8" s="79"/>
      <x:c r="AO8" s="79"/>
      <x:c r="AP8" s="79"/>
      <x:c r="AQ8" s="79"/>
      <x:c r="AR8" s="79"/>
      <x:c r="AS8" s="79"/>
      <x:c r="AT8" s="79"/>
      <x:c r="AU8" s="79"/>
      <x:c r="AV8" s="79"/>
      <x:c r="AW8" s="79"/>
      <x:c r="AX8" s="79"/>
      <x:c r="AY8" s="79"/>
      <x:c r="AZ8" s="79"/>
      <x:c r="BA8" s="79"/>
      <x:c r="BB8" s="79"/>
      <x:c r="BC8" s="79"/>
      <x:c r="BD8" s="79"/>
      <x:c r="BE8" s="79"/>
      <x:c r="BF8" s="79"/>
      <x:c r="BG8" s="79"/>
      <x:c r="BH8" s="79"/>
      <x:c r="BI8" s="79"/>
      <x:c r="BJ8" s="79"/>
      <x:c r="BK8" s="79"/>
      <x:c r="BL8" s="79"/>
      <x:c r="BM8" s="79"/>
      <x:c r="BN8" s="79"/>
      <x:c r="BO8" s="80"/>
      <x:c r="BP8" s="5"/>
      <x:c r="BQ8" s="5"/>
      <x:c r="BR8" s="5"/>
      <x:c r="BS8" s="5"/>
      <x:c r="BT8" s="5"/>
      <x:c r="BU8" s="5"/>
      <x:c r="BV8" s="5"/>
      <x:c r="BW8" s="5"/>
      <x:c r="BX8" s="5"/>
      <x:c r="BY8" s="5"/>
      <x:c r="BZ8" s="5"/>
      <x:c r="CA8" s="5"/>
      <x:c r="CB8" s="5"/>
    </x:row>
    <x:row r="9" ht="20" customHeight="1">
      <x:c r="A9" s="81">
        <x:v>1</x:v>
      </x:c>
      <x:c r="B9" s="288" t="s">
        <x:v>263</x:v>
      </x:c>
      <x:c r="C9" s="289" t="s">
        <x:v>264</x:v>
      </x:c>
      <x:c r="D9" s="81" t="s">
        <x:v>93</x:v>
      </x:c>
      <x:c r="E9" s="81" t="s">
        <x:v>265</x:v>
      </x:c>
      <x:c r="F9" s="82">
        <x:v>1</x:v>
      </x:c>
      <x:c r="G9" s="211" t="n">
        <x:v>46210</x:v>
      </x:c>
      <x:c r="H9" s="211" t="n">
        <x:v>46210</x:v>
      </x:c>
      <x:c r="I9" s="83" t="n">
        <x:f t="shared" si="3">IF(OR(ISBLANK(G9),ISBLANK(H9)),"",H9-G9+1)</x:f>
        <x:v>1</x:v>
      </x:c>
      <x:c r="J9" s="211"/>
      <x:c r="K9" s="211"/>
      <x:c r="L9" s="83" t="str">
        <x:f t="shared" si="4"/>
      </x:c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  <x:c r="AA9" s="79"/>
      <x:c r="AB9" s="79"/>
      <x:c r="AC9" s="79"/>
      <x:c r="AD9" s="79"/>
      <x:c r="AE9" s="79"/>
      <x:c r="AF9" s="79"/>
      <x:c r="AG9" s="79"/>
      <x:c r="AH9" s="79"/>
      <x:c r="AI9" s="79"/>
      <x:c r="AJ9" s="79"/>
      <x:c r="AK9" s="79"/>
      <x:c r="AL9" s="79"/>
      <x:c r="AM9" s="79"/>
      <x:c r="AN9" s="79"/>
      <x:c r="AO9" s="79"/>
      <x:c r="AP9" s="79"/>
      <x:c r="AQ9" s="79"/>
      <x:c r="AR9" s="79"/>
      <x:c r="AS9" s="79"/>
      <x:c r="AT9" s="79"/>
      <x:c r="AU9" s="79"/>
      <x:c r="AV9" s="79"/>
      <x:c r="AW9" s="79"/>
      <x:c r="AX9" s="79"/>
      <x:c r="AY9" s="79"/>
      <x:c r="AZ9" s="79"/>
      <x:c r="BA9" s="79"/>
      <x:c r="BB9" s="79"/>
      <x:c r="BC9" s="79"/>
      <x:c r="BD9" s="79"/>
      <x:c r="BE9" s="79"/>
      <x:c r="BF9" s="79"/>
      <x:c r="BG9" s="79"/>
      <x:c r="BH9" s="79"/>
      <x:c r="BI9" s="79"/>
      <x:c r="BJ9" s="79"/>
      <x:c r="BK9" s="79"/>
      <x:c r="BL9" s="79"/>
      <x:c r="BM9" s="79"/>
      <x:c r="BN9" s="79"/>
      <x:c r="BO9" s="80"/>
      <x:c r="BP9" s="84"/>
      <x:c r="BQ9" s="84"/>
      <x:c r="BR9" s="84"/>
      <x:c r="BS9" s="84"/>
      <x:c r="BT9" s="84"/>
      <x:c r="BU9" s="84"/>
      <x:c r="BV9" s="84"/>
      <x:c r="BW9" s="84"/>
      <x:c r="BX9" s="84"/>
      <x:c r="BY9" s="84"/>
      <x:c r="BZ9" s="84"/>
      <x:c r="CA9" s="84"/>
      <x:c r="CB9" s="84"/>
    </x:row>
    <x:row r="10" ht="18" customHeight="1">
      <x:c r="A10" s="85">
        <x:v>2</x:v>
      </x:c>
      <x:c r="B10" s="217" t="s">
        <x:v>266</x:v>
      </x:c>
      <x:c r="C10" s="217" t="s">
        <x:v>267</x:v>
      </x:c>
      <x:c r="D10" s="85" t="s">
        <x:v>96</x:v>
      </x:c>
      <x:c r="E10" s="85" t="s">
        <x:v>268</x:v>
      </x:c>
      <x:c r="F10" s="86">
        <x:v>0.8</x:v>
      </x:c>
      <x:c r="G10" s="212" t="n">
        <x:v>46210</x:v>
      </x:c>
      <x:c r="H10" s="212" t="n">
        <x:v>46211</x:v>
      </x:c>
      <x:c r="I10" s="87" t="n">
        <x:f t="shared" ref="I10:I39" si="5">IF(OR(ISBLANK(G10),ISBLANK(H10)),"",H10-G10+1)</x:f>
        <x:v>2</x:v>
      </x:c>
      <x:c r="J10" s="212"/>
      <x:c r="K10" s="212"/>
      <x:c r="L10" s="87" t="str">
        <x:f t="shared" si="4"/>
      </x:c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  <x:c r="AA10" s="79"/>
      <x:c r="AB10" s="79"/>
      <x:c r="AC10" s="79"/>
      <x:c r="AD10" s="79"/>
      <x:c r="AE10" s="79"/>
      <x:c r="AF10" s="79"/>
      <x:c r="AG10" s="79"/>
      <x:c r="AH10" s="79"/>
      <x:c r="AI10" s="79"/>
      <x:c r="AJ10" s="79"/>
      <x:c r="AK10" s="79"/>
      <x:c r="AL10" s="79"/>
      <x:c r="AM10" s="79"/>
      <x:c r="AN10" s="79"/>
      <x:c r="AO10" s="79"/>
      <x:c r="AP10" s="79"/>
      <x:c r="AQ10" s="79"/>
      <x:c r="AR10" s="79"/>
      <x:c r="AS10" s="79"/>
      <x:c r="AT10" s="79"/>
      <x:c r="AU10" s="79"/>
      <x:c r="AV10" s="79"/>
      <x:c r="AW10" s="79"/>
      <x:c r="AX10" s="79"/>
      <x:c r="AY10" s="79"/>
      <x:c r="AZ10" s="79"/>
      <x:c r="BA10" s="79"/>
      <x:c r="BB10" s="79"/>
      <x:c r="BC10" s="79"/>
      <x:c r="BD10" s="79"/>
      <x:c r="BE10" s="79"/>
      <x:c r="BF10" s="79"/>
      <x:c r="BG10" s="79"/>
      <x:c r="BH10" s="79"/>
      <x:c r="BI10" s="79"/>
      <x:c r="BJ10" s="79"/>
      <x:c r="BK10" s="79"/>
      <x:c r="BL10" s="79"/>
      <x:c r="BM10" s="79"/>
      <x:c r="BN10" s="79"/>
      <x:c r="BO10" s="80"/>
      <x:c r="BP10" s="84"/>
      <x:c r="BQ10" s="84"/>
      <x:c r="BR10" s="84"/>
      <x:c r="BS10" s="84"/>
      <x:c r="BT10" s="84"/>
      <x:c r="BU10" s="84"/>
      <x:c r="BV10" s="84"/>
      <x:c r="BW10" s="84"/>
      <x:c r="BX10" s="84"/>
      <x:c r="BY10" s="84"/>
      <x:c r="BZ10" s="84"/>
      <x:c r="CA10" s="84"/>
      <x:c r="CB10" s="84"/>
    </x:row>
    <x:row r="11" ht="18" customHeight="1">
      <x:c r="A11" s="85">
        <x:v>3</x:v>
      </x:c>
      <x:c r="B11" s="217" t="s">
        <x:v>269</x:v>
      </x:c>
      <x:c r="C11" s="217" t="s">
        <x:v>270</x:v>
      </x:c>
      <x:c r="D11" s="85" t="s">
        <x:v>96</x:v>
      </x:c>
      <x:c r="E11" s="85" t="s">
        <x:v>99</x:v>
      </x:c>
      <x:c r="F11" s="86">
        <x:v>0.7</x:v>
      </x:c>
      <x:c r="G11" s="212" t="n">
        <x:v>46210</x:v>
      </x:c>
      <x:c r="H11" s="212" t="n">
        <x:v>46211</x:v>
      </x:c>
      <x:c r="I11" s="87" t="n">
        <x:f t="shared" si="5">IF(OR(ISBLANK(G11),ISBLANK(H11)),"",H11-G11+1)</x:f>
        <x:v>2</x:v>
      </x:c>
      <x:c r="J11" s="212"/>
      <x:c r="K11" s="212"/>
      <x:c r="L11" s="87" t="str">
        <x:f t="shared" si="4"/>
      </x:c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  <x:c r="AA11" s="79"/>
      <x:c r="AB11" s="79"/>
      <x:c r="AC11" s="79"/>
      <x:c r="AD11" s="79"/>
      <x:c r="AE11" s="79"/>
      <x:c r="AF11" s="79"/>
      <x:c r="AG11" s="79"/>
      <x:c r="AH11" s="79"/>
      <x:c r="AI11" s="79"/>
      <x:c r="AJ11" s="79"/>
      <x:c r="AK11" s="79"/>
      <x:c r="AL11" s="79"/>
      <x:c r="AM11" s="79"/>
      <x:c r="AN11" s="79"/>
      <x:c r="AO11" s="79"/>
      <x:c r="AP11" s="79"/>
      <x:c r="AQ11" s="79"/>
      <x:c r="AR11" s="79"/>
      <x:c r="AS11" s="79"/>
      <x:c r="AT11" s="79"/>
      <x:c r="AU11" s="79"/>
      <x:c r="AV11" s="79"/>
      <x:c r="AW11" s="79"/>
      <x:c r="AX11" s="79"/>
      <x:c r="AY11" s="79"/>
      <x:c r="AZ11" s="79"/>
      <x:c r="BA11" s="79"/>
      <x:c r="BB11" s="79"/>
      <x:c r="BC11" s="79"/>
      <x:c r="BD11" s="79"/>
      <x:c r="BE11" s="79"/>
      <x:c r="BF11" s="79"/>
      <x:c r="BG11" s="79"/>
      <x:c r="BH11" s="79"/>
      <x:c r="BI11" s="79"/>
      <x:c r="BJ11" s="79"/>
      <x:c r="BK11" s="79"/>
      <x:c r="BL11" s="79"/>
      <x:c r="BM11" s="79"/>
      <x:c r="BN11" s="79"/>
      <x:c r="BO11" s="80"/>
      <x:c r="BP11" s="84"/>
      <x:c r="BQ11" s="84"/>
      <x:c r="BR11" s="84"/>
      <x:c r="BS11" s="84"/>
      <x:c r="BT11" s="84"/>
      <x:c r="BU11" s="84"/>
      <x:c r="BV11" s="84"/>
      <x:c r="BW11" s="84"/>
      <x:c r="BX11" s="84"/>
      <x:c r="BY11" s="84"/>
      <x:c r="BZ11" s="84"/>
      <x:c r="CA11" s="84"/>
      <x:c r="CB11" s="84"/>
    </x:row>
    <x:row r="12" ht="18" customHeight="1">
      <x:c r="A12" s="85">
        <x:v>4</x:v>
      </x:c>
      <x:c r="B12" s="217" t="s">
        <x:v>271</x:v>
      </x:c>
      <x:c r="C12" s="217" t="s">
        <x:v>272</x:v>
      </x:c>
      <x:c r="D12" s="85" t="s">
        <x:v>99</x:v>
      </x:c>
      <x:c r="E12" s="85" t="s">
        <x:v>273</x:v>
      </x:c>
      <x:c r="F12" s="86">
        <x:v>0.6</x:v>
      </x:c>
      <x:c r="G12" s="212" t="n">
        <x:v>46211</x:v>
      </x:c>
      <x:c r="H12" s="212" t="n">
        <x:v>46211</x:v>
      </x:c>
      <x:c r="I12" s="87" t="n">
        <x:f t="shared" si="5">IF(OR(ISBLANK(G12),ISBLANK(H12)),"",H12-G12+1)</x:f>
        <x:v>1</x:v>
      </x:c>
      <x:c r="J12" s="212"/>
      <x:c r="K12" s="212"/>
      <x:c r="L12" s="87" t="str">
        <x:f>IF(OR(ISBLANK(J12),ISBLANK(K12)),"",K12-J12+1)</x:f>
      </x:c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  <x:c r="AA12" s="79"/>
      <x:c r="AB12" s="79"/>
      <x:c r="AC12" s="79"/>
      <x:c r="AD12" s="79"/>
      <x:c r="AE12" s="79"/>
      <x:c r="AF12" s="79"/>
      <x:c r="AG12" s="79"/>
      <x:c r="AH12" s="79"/>
      <x:c r="AI12" s="79"/>
      <x:c r="AJ12" s="79"/>
      <x:c r="AK12" s="79"/>
      <x:c r="AL12" s="79"/>
      <x:c r="AM12" s="79"/>
      <x:c r="AN12" s="79"/>
      <x:c r="AO12" s="79"/>
      <x:c r="AP12" s="79"/>
      <x:c r="AQ12" s="79"/>
      <x:c r="AR12" s="79"/>
      <x:c r="AS12" s="79"/>
      <x:c r="AT12" s="79"/>
      <x:c r="AU12" s="79"/>
      <x:c r="AV12" s="79"/>
      <x:c r="AW12" s="79"/>
      <x:c r="AX12" s="79"/>
      <x:c r="AY12" s="79"/>
      <x:c r="AZ12" s="79"/>
      <x:c r="BA12" s="79"/>
      <x:c r="BB12" s="79"/>
      <x:c r="BC12" s="79"/>
      <x:c r="BD12" s="79"/>
      <x:c r="BE12" s="79"/>
      <x:c r="BF12" s="79"/>
      <x:c r="BG12" s="79"/>
      <x:c r="BH12" s="79"/>
      <x:c r="BI12" s="79"/>
      <x:c r="BJ12" s="79"/>
      <x:c r="BK12" s="79"/>
      <x:c r="BL12" s="79"/>
      <x:c r="BM12" s="79"/>
      <x:c r="BN12" s="79"/>
      <x:c r="BO12" s="80"/>
      <x:c r="BP12" s="84"/>
      <x:c r="BQ12" s="84"/>
      <x:c r="BR12" s="84"/>
      <x:c r="BS12" s="84"/>
      <x:c r="BT12" s="84"/>
      <x:c r="BU12" s="84"/>
      <x:c r="BV12" s="84"/>
      <x:c r="BW12" s="84"/>
      <x:c r="BX12" s="84"/>
      <x:c r="BY12" s="84"/>
      <x:c r="BZ12" s="84"/>
      <x:c r="CA12" s="84"/>
      <x:c r="CB12" s="84"/>
    </x:row>
    <x:row r="13" ht="18" customHeight="1">
      <x:c r="A13" s="85" t="s">
        <x:v>164</x:v>
      </x:c>
      <x:c r="B13" s="217" t="s">
        <x:v>101</x:v>
      </x:c>
      <x:c r="C13" s="217" t="s">
        <x:v>274</x:v>
      </x:c>
      <x:c r="D13" s="85" t="s">
        <x:v>99</x:v>
      </x:c>
      <x:c r="E13" s="85" t="s">
        <x:v>275</x:v>
      </x:c>
      <x:c r="F13" s="86">
        <x:v>0.35</x:v>
      </x:c>
      <x:c r="G13" s="212" t="n">
        <x:v>46212</x:v>
      </x:c>
      <x:c r="H13" s="212" t="n">
        <x:v>46214</x:v>
      </x:c>
      <x:c r="I13" s="87" t="n">
        <x:f t="shared" si="5">IF(OR(ISBLANK(G13),ISBLANK(H13)),"",H13-G13+1)</x:f>
        <x:v>3</x:v>
      </x:c>
      <x:c r="J13" s="212"/>
      <x:c r="K13" s="212"/>
      <x:c r="L13" s="87" t="str">
        <x:f t="shared" ref="L13:L14" si="6">IF(OR(ISBLANK(J13),ISBLANK(K13)),"",K13-J13+1)</x:f>
      </x:c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79"/>
      <x:c r="AE13" s="79"/>
      <x:c r="AF13" s="79"/>
      <x:c r="AG13" s="79"/>
      <x:c r="AH13" s="79"/>
      <x:c r="AI13" s="79"/>
      <x:c r="AJ13" s="79"/>
      <x:c r="AK13" s="79"/>
      <x:c r="AL13" s="79"/>
      <x:c r="AM13" s="79"/>
      <x:c r="AN13" s="79"/>
      <x:c r="AO13" s="79"/>
      <x:c r="AP13" s="79"/>
      <x:c r="AQ13" s="79"/>
      <x:c r="AR13" s="79"/>
      <x:c r="AS13" s="79"/>
      <x:c r="AT13" s="79"/>
      <x:c r="AU13" s="79"/>
      <x:c r="AV13" s="79"/>
      <x:c r="AW13" s="79"/>
      <x:c r="AX13" s="79"/>
      <x:c r="AY13" s="79"/>
      <x:c r="AZ13" s="79"/>
      <x:c r="BA13" s="79"/>
      <x:c r="BB13" s="79"/>
      <x:c r="BC13" s="88"/>
      <x:c r="BD13" s="88"/>
      <x:c r="BE13" s="88"/>
      <x:c r="BF13" s="88"/>
      <x:c r="BG13" s="88"/>
      <x:c r="BH13" s="88"/>
      <x:c r="BI13" s="88"/>
      <x:c r="BJ13" s="88"/>
      <x:c r="BK13" s="88"/>
      <x:c r="BL13" s="88"/>
      <x:c r="BM13" s="88"/>
      <x:c r="BN13" s="88"/>
      <x:c r="BO13" s="88"/>
      <x:c r="BP13" s="89"/>
      <x:c r="BQ13" s="89"/>
      <x:c r="BR13" s="89"/>
      <x:c r="BS13" s="89"/>
      <x:c r="BT13" s="89"/>
      <x:c r="BU13" s="89"/>
      <x:c r="BV13" s="89"/>
      <x:c r="BW13" s="89"/>
      <x:c r="BX13" s="89"/>
      <x:c r="BY13" s="89"/>
      <x:c r="BZ13" s="89"/>
      <x:c r="CA13" s="89"/>
      <x:c r="CB13" s="89"/>
    </x:row>
    <x:row r="14" ht="18" customHeight="1">
      <x:c r="A14" s="85">
        <x:v>1</x:v>
      </x:c>
      <x:c r="B14" s="217" t="s">
        <x:v>276</x:v>
      </x:c>
      <x:c r="C14" s="217" t="s">
        <x:v>277</x:v>
      </x:c>
      <x:c r="D14" s="85" t="s">
        <x:v>104</x:v>
      </x:c>
      <x:c r="E14" s="85" t="s">
        <x:v>278</x:v>
      </x:c>
      <x:c r="F14" s="86">
        <x:v>0.6</x:v>
      </x:c>
      <x:c r="G14" s="212" t="n">
        <x:v>46212</x:v>
      </x:c>
      <x:c r="H14" s="212" t="n">
        <x:v>46212</x:v>
      </x:c>
      <x:c r="I14" s="87" t="n">
        <x:f t="shared" si="5">IF(OR(ISBLANK(G14),ISBLANK(H14)),"",H14-G14+1)</x:f>
        <x:v>1</x:v>
      </x:c>
      <x:c r="J14" s="212"/>
      <x:c r="K14" s="212"/>
      <x:c r="L14" s="87" t="str">
        <x:f t="shared" si="6"/>
      </x:c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  <x:c r="AJ14" s="79"/>
      <x:c r="AK14" s="79"/>
      <x:c r="AL14" s="79"/>
      <x:c r="AM14" s="79"/>
      <x:c r="AN14" s="79"/>
      <x:c r="AO14" s="79"/>
      <x:c r="AP14" s="79"/>
      <x:c r="AQ14" s="79"/>
      <x:c r="AR14" s="79"/>
      <x:c r="AS14" s="79"/>
      <x:c r="AT14" s="79"/>
      <x:c r="AU14" s="79"/>
      <x:c r="AV14" s="79"/>
      <x:c r="AW14" s="79"/>
      <x:c r="AX14" s="79"/>
      <x:c r="AY14" s="79"/>
      <x:c r="AZ14" s="79"/>
      <x:c r="BA14" s="79"/>
      <x:c r="BB14" s="79"/>
      <x:c r="BC14" s="90"/>
      <x:c r="BD14" s="90"/>
      <x:c r="BE14" s="90"/>
      <x:c r="BF14" s="90"/>
      <x:c r="BG14" s="79"/>
      <x:c r="BH14" s="79"/>
      <x:c r="BI14" s="79"/>
      <x:c r="BJ14" s="79"/>
      <x:c r="BK14" s="79"/>
      <x:c r="BL14" s="79"/>
      <x:c r="BM14" s="79"/>
      <x:c r="BN14" s="79"/>
      <x:c r="BO14" s="80"/>
      <x:c r="BP14" s="84"/>
      <x:c r="BQ14" s="84"/>
      <x:c r="BR14" s="84"/>
      <x:c r="BS14" s="84"/>
      <x:c r="BT14" s="84"/>
      <x:c r="BU14" s="84"/>
      <x:c r="BV14" s="84"/>
      <x:c r="BW14" s="84"/>
      <x:c r="BX14" s="84"/>
      <x:c r="BY14" s="84"/>
      <x:c r="BZ14" s="84"/>
      <x:c r="CA14" s="84"/>
      <x:c r="CB14" s="84"/>
    </x:row>
    <x:row r="15" ht="20" customHeight="1">
      <x:c r="A15" s="81">
        <x:v>2</x:v>
      </x:c>
      <x:c r="B15" s="288" t="s">
        <x:v>279</x:v>
      </x:c>
      <x:c r="C15" s="289" t="s">
        <x:v>280</x:v>
      </x:c>
      <x:c r="D15" s="81" t="s">
        <x:v>104</x:v>
      </x:c>
      <x:c r="E15" s="81" t="s">
        <x:v>278</x:v>
      </x:c>
      <x:c r="F15" s="82">
        <x:v>0.45</x:v>
      </x:c>
      <x:c r="G15" s="211" t="n">
        <x:v>46212</x:v>
      </x:c>
      <x:c r="H15" s="211" t="n">
        <x:v>46213</x:v>
      </x:c>
      <x:c r="I15" s="83" t="n">
        <x:f t="shared" si="5">IF(OR(ISBLANK(G15),ISBLANK(H15)),"",H15-G15+1)</x:f>
        <x:v>2</x:v>
      </x:c>
      <x:c r="J15" s="211"/>
      <x:c r="K15" s="211"/>
      <x:c r="L15" s="83" t="str">
        <x:f t="shared" ref="L15:L39" si="7">IF(OR(ISBLANK(J15),ISBLANK(K15)),"",K15-J15+1)</x:f>
      </x:c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  <x:c r="AA15" s="79"/>
      <x:c r="AB15" s="79"/>
      <x:c r="AC15" s="79"/>
      <x:c r="AD15" s="79"/>
      <x:c r="AE15" s="79"/>
      <x:c r="AF15" s="79"/>
      <x:c r="AG15" s="79"/>
      <x:c r="AH15" s="79"/>
      <x:c r="AI15" s="79"/>
      <x:c r="AJ15" s="79"/>
      <x:c r="AK15" s="79"/>
      <x:c r="AL15" s="79"/>
      <x:c r="AM15" s="79"/>
      <x:c r="AN15" s="79"/>
      <x:c r="AO15" s="79"/>
      <x:c r="AP15" s="79"/>
      <x:c r="AQ15" s="79"/>
      <x:c r="AR15" s="79"/>
      <x:c r="AS15" s="79"/>
      <x:c r="AT15" s="79"/>
      <x:c r="AU15" s="79"/>
      <x:c r="AV15" s="79"/>
      <x:c r="AW15" s="79"/>
      <x:c r="AX15" s="79"/>
      <x:c r="AY15" s="79"/>
      <x:c r="AZ15" s="79"/>
      <x:c r="BA15" s="79"/>
      <x:c r="BB15" s="79"/>
      <x:c r="BC15" s="79"/>
      <x:c r="BD15" s="79"/>
      <x:c r="BE15" s="79"/>
      <x:c r="BF15" s="79"/>
      <x:c r="BG15" s="79"/>
      <x:c r="BH15" s="79"/>
      <x:c r="BI15" s="79"/>
      <x:c r="BJ15" s="79"/>
      <x:c r="BK15" s="79"/>
      <x:c r="BL15" s="79"/>
      <x:c r="BM15" s="79"/>
      <x:c r="BN15" s="79"/>
      <x:c r="BO15" s="80"/>
      <x:c r="BP15" s="84"/>
      <x:c r="BQ15" s="84"/>
      <x:c r="BR15" s="84"/>
      <x:c r="BS15" s="84"/>
      <x:c r="BT15" s="84"/>
      <x:c r="BU15" s="84"/>
      <x:c r="BV15" s="84"/>
      <x:c r="BW15" s="84"/>
      <x:c r="BX15" s="84"/>
      <x:c r="BY15" s="84"/>
      <x:c r="BZ15" s="84"/>
      <x:c r="CA15" s="84"/>
      <x:c r="CB15" s="84"/>
    </x:row>
    <x:row r="16" ht="18" customHeight="1">
      <x:c r="A16" s="85">
        <x:v>3</x:v>
      </x:c>
      <x:c r="B16" s="217" t="s">
        <x:v>281</x:v>
      </x:c>
      <x:c r="C16" s="217" t="s">
        <x:v>282</x:v>
      </x:c>
      <x:c r="D16" s="85" t="s">
        <x:v>104</x:v>
      </x:c>
      <x:c r="E16" s="85" t="s">
        <x:v>278</x:v>
      </x:c>
      <x:c r="F16" s="86">
        <x:v>0.35</x:v>
      </x:c>
      <x:c r="G16" s="212" t="n">
        <x:v>46212</x:v>
      </x:c>
      <x:c r="H16" s="212" t="n">
        <x:v>46213</x:v>
      </x:c>
      <x:c r="I16" s="87" t="n">
        <x:f t="shared" si="5">IF(OR(ISBLANK(G16),ISBLANK(H16)),"",H16-G16+1)</x:f>
        <x:v>2</x:v>
      </x:c>
      <x:c r="J16" s="212"/>
      <x:c r="K16" s="212"/>
      <x:c r="L16" s="87" t="str">
        <x:f t="shared" si="7"/>
      </x:c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  <x:c r="AJ16" s="79"/>
      <x:c r="AK16" s="79"/>
      <x:c r="AL16" s="79"/>
      <x:c r="AM16" s="79"/>
      <x:c r="AN16" s="79"/>
      <x:c r="AO16" s="79"/>
      <x:c r="AP16" s="79"/>
      <x:c r="AQ16" s="79"/>
      <x:c r="AR16" s="79"/>
      <x:c r="AS16" s="79"/>
      <x:c r="AT16" s="79"/>
      <x:c r="AU16" s="79"/>
      <x:c r="AV16" s="79"/>
      <x:c r="AW16" s="79"/>
      <x:c r="AX16" s="79"/>
      <x:c r="AY16" s="79"/>
      <x:c r="AZ16" s="79"/>
      <x:c r="BA16" s="79"/>
      <x:c r="BB16" s="79"/>
      <x:c r="BC16" s="79"/>
      <x:c r="BD16" s="79"/>
      <x:c r="BE16" s="79"/>
      <x:c r="BF16" s="79"/>
      <x:c r="BG16" s="79"/>
      <x:c r="BH16" s="79"/>
      <x:c r="BI16" s="79"/>
      <x:c r="BJ16" s="79"/>
      <x:c r="BK16" s="79"/>
      <x:c r="BL16" s="79"/>
      <x:c r="BM16" s="79"/>
      <x:c r="BN16" s="79"/>
      <x:c r="BO16" s="80"/>
      <x:c r="BP16" s="84"/>
      <x:c r="BQ16" s="84"/>
      <x:c r="BR16" s="84"/>
      <x:c r="BS16" s="84"/>
      <x:c r="BT16" s="84"/>
      <x:c r="BU16" s="84"/>
      <x:c r="BV16" s="84"/>
      <x:c r="BW16" s="84"/>
      <x:c r="BX16" s="84"/>
      <x:c r="BY16" s="84"/>
      <x:c r="BZ16" s="84"/>
      <x:c r="CA16" s="84"/>
      <x:c r="CB16" s="84"/>
    </x:row>
    <x:row r="17" ht="18" customHeight="1">
      <x:c r="A17" s="85">
        <x:v>4</x:v>
      </x:c>
      <x:c r="B17" s="217" t="s">
        <x:v>283</x:v>
      </x:c>
      <x:c r="C17" s="217" t="s">
        <x:v>284</x:v>
      </x:c>
      <x:c r="D17" s="85" t="s">
        <x:v>104</x:v>
      </x:c>
      <x:c r="E17" s="85" t="s">
        <x:v>285</x:v>
      </x:c>
      <x:c r="F17" s="86">
        <x:v>0.25</x:v>
      </x:c>
      <x:c r="G17" s="212" t="n">
        <x:v>46213</x:v>
      </x:c>
      <x:c r="H17" s="212" t="n">
        <x:v>46214</x:v>
      </x:c>
      <x:c r="I17" s="87" t="n">
        <x:f t="shared" si="5">IF(OR(ISBLANK(G17),ISBLANK(H17)),"",H17-G17+1)</x:f>
        <x:v>2</x:v>
      </x:c>
      <x:c r="J17" s="212"/>
      <x:c r="K17" s="212"/>
      <x:c r="L17" s="87" t="str">
        <x:f t="shared" si="7"/>
      </x:c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  <x:c r="AA17" s="79"/>
      <x:c r="AB17" s="79"/>
      <x:c r="AC17" s="79"/>
      <x:c r="AD17" s="79"/>
      <x:c r="AE17" s="79"/>
      <x:c r="AF17" s="79"/>
      <x:c r="AG17" s="79"/>
      <x:c r="AH17" s="79"/>
      <x:c r="AI17" s="79"/>
      <x:c r="AJ17" s="79"/>
      <x:c r="AK17" s="79"/>
      <x:c r="AL17" s="79"/>
      <x:c r="AM17" s="79"/>
      <x:c r="AN17" s="79"/>
      <x:c r="AO17" s="79"/>
      <x:c r="AP17" s="79"/>
      <x:c r="AQ17" s="79"/>
      <x:c r="AR17" s="79"/>
      <x:c r="AS17" s="79"/>
      <x:c r="AT17" s="79"/>
      <x:c r="AU17" s="79"/>
      <x:c r="AV17" s="79"/>
      <x:c r="AW17" s="79"/>
      <x:c r="AX17" s="79"/>
      <x:c r="AY17" s="79"/>
      <x:c r="AZ17" s="79"/>
      <x:c r="BA17" s="79"/>
      <x:c r="BB17" s="79"/>
      <x:c r="BC17" s="79"/>
      <x:c r="BD17" s="79"/>
      <x:c r="BE17" s="79"/>
      <x:c r="BF17" s="79"/>
      <x:c r="BG17" s="79"/>
      <x:c r="BH17" s="79"/>
      <x:c r="BI17" s="79"/>
      <x:c r="BJ17" s="79"/>
      <x:c r="BK17" s="79"/>
      <x:c r="BL17" s="79"/>
      <x:c r="BM17" s="79"/>
      <x:c r="BN17" s="79"/>
      <x:c r="BO17" s="80"/>
      <x:c r="BP17" s="84"/>
      <x:c r="BQ17" s="84"/>
      <x:c r="BR17" s="84"/>
      <x:c r="BS17" s="84"/>
      <x:c r="BT17" s="84"/>
      <x:c r="BU17" s="84"/>
      <x:c r="BV17" s="84"/>
      <x:c r="BW17" s="84"/>
      <x:c r="BX17" s="84"/>
      <x:c r="BY17" s="84"/>
      <x:c r="BZ17" s="84"/>
      <x:c r="CA17" s="84"/>
      <x:c r="CB17" s="84"/>
    </x:row>
    <x:row r="18" ht="18" customHeight="1">
      <x:c r="A18" s="85" t="s">
        <x:v>227</x:v>
      </x:c>
      <x:c r="B18" s="217" t="s">
        <x:v>109</x:v>
      </x:c>
      <x:c r="C18" s="217" t="s">
        <x:v>286</x:v>
      </x:c>
      <x:c r="D18" s="85" t="s">
        <x:v>99</x:v>
      </x:c>
      <x:c r="E18" s="85" t="s">
        <x:v>287</x:v>
      </x:c>
      <x:c r="F18" s="86">
        <x:v>0.1</x:v>
      </x:c>
      <x:c r="G18" s="212" t="n">
        <x:v>46213</x:v>
      </x:c>
      <x:c r="H18" s="212" t="n">
        <x:v>46216</x:v>
      </x:c>
      <x:c r="I18" s="87" t="n">
        <x:f t="shared" si="5">IF(OR(ISBLANK(G18),ISBLANK(H18)),"",H18-G18+1)</x:f>
        <x:v>4</x:v>
      </x:c>
      <x:c r="J18" s="212"/>
      <x:c r="K18" s="212"/>
      <x:c r="L18" s="87" t="str">
        <x:f t="shared" si="7"/>
      </x:c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  <x:c r="AJ18" s="79"/>
      <x:c r="AK18" s="79"/>
      <x:c r="AL18" s="79"/>
      <x:c r="AM18" s="79"/>
      <x:c r="AN18" s="79"/>
      <x:c r="AO18" s="79"/>
      <x:c r="AP18" s="79"/>
      <x:c r="AQ18" s="79"/>
      <x:c r="AR18" s="79"/>
      <x:c r="AS18" s="79"/>
      <x:c r="AT18" s="79"/>
      <x:c r="AU18" s="79"/>
      <x:c r="AV18" s="79"/>
      <x:c r="AW18" s="79"/>
      <x:c r="AX18" s="79"/>
      <x:c r="AY18" s="79"/>
      <x:c r="AZ18" s="79"/>
      <x:c r="BA18" s="79"/>
      <x:c r="BB18" s="79"/>
      <x:c r="BC18" s="79"/>
      <x:c r="BD18" s="79"/>
      <x:c r="BE18" s="79"/>
      <x:c r="BF18" s="79"/>
      <x:c r="BG18" s="79"/>
      <x:c r="BH18" s="79"/>
      <x:c r="BI18" s="79"/>
      <x:c r="BJ18" s="79"/>
      <x:c r="BK18" s="79"/>
      <x:c r="BL18" s="79"/>
      <x:c r="BM18" s="79"/>
      <x:c r="BN18" s="79"/>
      <x:c r="BO18" s="80"/>
      <x:c r="BP18" s="84"/>
      <x:c r="BQ18" s="84"/>
      <x:c r="BR18" s="84"/>
      <x:c r="BS18" s="84"/>
      <x:c r="BT18" s="84"/>
      <x:c r="BU18" s="84"/>
      <x:c r="BV18" s="84"/>
      <x:c r="BW18" s="84"/>
      <x:c r="BX18" s="84"/>
      <x:c r="BY18" s="84"/>
      <x:c r="BZ18" s="84"/>
      <x:c r="CA18" s="84"/>
      <x:c r="CB18" s="84"/>
    </x:row>
    <x:row r="19" ht="18" customHeight="1">
      <x:c r="A19" s="85">
        <x:v>1</x:v>
      </x:c>
      <x:c r="B19" s="217" t="s">
        <x:v>288</x:v>
      </x:c>
      <x:c r="C19" s="217" t="s">
        <x:v>289</x:v>
      </x:c>
      <x:c r="D19" s="85" t="s">
        <x:v>107</x:v>
      </x:c>
      <x:c r="E19" s="85" t="s">
        <x:v>136</x:v>
      </x:c>
      <x:c r="F19" s="86">
        <x:v>0.2</x:v>
      </x:c>
      <x:c r="G19" s="212" t="n">
        <x:v>46213</x:v>
      </x:c>
      <x:c r="H19" s="212" t="n">
        <x:v>46214</x:v>
      </x:c>
      <x:c r="I19" s="87" t="n">
        <x:f t="shared" si="5">IF(OR(ISBLANK(G19),ISBLANK(H19)),"",H19-G19+1)</x:f>
        <x:v>2</x:v>
      </x:c>
      <x:c r="J19" s="212"/>
      <x:c r="K19" s="212"/>
      <x:c r="L19" s="87" t="str">
        <x:f t="shared" si="7"/>
      </x:c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  <x:c r="AA19" s="79"/>
      <x:c r="AB19" s="79"/>
      <x:c r="AC19" s="79"/>
      <x:c r="AD19" s="79"/>
      <x:c r="AE19" s="79"/>
      <x:c r="AF19" s="79"/>
      <x:c r="AG19" s="79"/>
      <x:c r="AH19" s="79"/>
      <x:c r="AI19" s="79"/>
      <x:c r="AJ19" s="79"/>
      <x:c r="AK19" s="79"/>
      <x:c r="AL19" s="79"/>
      <x:c r="AM19" s="79"/>
      <x:c r="AN19" s="79"/>
      <x:c r="AO19" s="79"/>
      <x:c r="AP19" s="79"/>
      <x:c r="AQ19" s="79"/>
      <x:c r="AR19" s="79"/>
      <x:c r="AS19" s="79"/>
      <x:c r="AT19" s="79"/>
      <x:c r="AU19" s="79"/>
      <x:c r="AV19" s="79"/>
      <x:c r="AW19" s="79"/>
      <x:c r="AX19" s="79"/>
      <x:c r="AY19" s="79"/>
      <x:c r="AZ19" s="79"/>
      <x:c r="BA19" s="79"/>
      <x:c r="BB19" s="79"/>
      <x:c r="BC19" s="79"/>
      <x:c r="BD19" s="79"/>
      <x:c r="BE19" s="79"/>
      <x:c r="BF19" s="79"/>
      <x:c r="BG19" s="79"/>
      <x:c r="BH19" s="79"/>
      <x:c r="BI19" s="79"/>
      <x:c r="BJ19" s="79"/>
      <x:c r="BK19" s="79"/>
      <x:c r="BL19" s="79"/>
      <x:c r="BM19" s="79"/>
      <x:c r="BN19" s="79"/>
      <x:c r="BO19" s="80"/>
      <x:c r="BP19" s="84"/>
      <x:c r="BQ19" s="84"/>
      <x:c r="BR19" s="84"/>
      <x:c r="BS19" s="84"/>
      <x:c r="BT19" s="84"/>
      <x:c r="BU19" s="84"/>
      <x:c r="BV19" s="84"/>
      <x:c r="BW19" s="84"/>
      <x:c r="BX19" s="84"/>
      <x:c r="BY19" s="84"/>
      <x:c r="BZ19" s="84"/>
      <x:c r="CA19" s="84"/>
      <x:c r="CB19" s="84"/>
    </x:row>
    <x:row r="20" ht="18" customHeight="1">
      <x:c r="A20" s="85">
        <x:v>2</x:v>
      </x:c>
      <x:c r="B20" s="217" t="s">
        <x:v>182</x:v>
      </x:c>
      <x:c r="C20" s="217" t="s">
        <x:v>290</x:v>
      </x:c>
      <x:c r="D20" s="85" t="s">
        <x:v>107</x:v>
      </x:c>
      <x:c r="E20" s="85" t="s">
        <x:v>136</x:v>
      </x:c>
      <x:c r="F20" s="86">
        <x:v>0.1</x:v>
      </x:c>
      <x:c r="G20" s="212" t="n">
        <x:v>46214</x:v>
      </x:c>
      <x:c r="H20" s="212" t="n">
        <x:v>46215</x:v>
      </x:c>
      <x:c r="I20" s="87" t="n">
        <x:f t="shared" si="5">IF(OR(ISBLANK(G20),ISBLANK(H20)),"",H20-G20+1)</x:f>
        <x:v>2</x:v>
      </x:c>
      <x:c r="J20" s="212"/>
      <x:c r="K20" s="212"/>
      <x:c r="L20" s="87" t="str">
        <x:f t="shared" si="7"/>
      </x:c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  <x:c r="AA20" s="79"/>
      <x:c r="AB20" s="79"/>
      <x:c r="AC20" s="79"/>
      <x:c r="AD20" s="79"/>
      <x:c r="AE20" s="79"/>
      <x:c r="AF20" s="79"/>
      <x:c r="AG20" s="79"/>
      <x:c r="AH20" s="79"/>
      <x:c r="AI20" s="79"/>
      <x:c r="AJ20" s="79"/>
      <x:c r="AK20" s="79"/>
      <x:c r="AL20" s="79"/>
      <x:c r="AM20" s="79"/>
      <x:c r="AN20" s="79"/>
      <x:c r="AO20" s="79"/>
      <x:c r="AP20" s="79"/>
      <x:c r="AQ20" s="79"/>
      <x:c r="AR20" s="79"/>
      <x:c r="AS20" s="79"/>
      <x:c r="AT20" s="79"/>
      <x:c r="AU20" s="79"/>
      <x:c r="AV20" s="79"/>
      <x:c r="AW20" s="79"/>
      <x:c r="AX20" s="79"/>
      <x:c r="AY20" s="79"/>
      <x:c r="AZ20" s="79"/>
      <x:c r="BA20" s="79"/>
      <x:c r="BB20" s="79"/>
      <x:c r="BC20" s="88"/>
      <x:c r="BD20" s="88"/>
      <x:c r="BE20" s="88"/>
      <x:c r="BF20" s="88"/>
      <x:c r="BG20" s="88"/>
      <x:c r="BH20" s="88"/>
      <x:c r="BI20" s="88"/>
      <x:c r="BJ20" s="88"/>
      <x:c r="BK20" s="88"/>
      <x:c r="BL20" s="88"/>
      <x:c r="BM20" s="88"/>
      <x:c r="BN20" s="88"/>
      <x:c r="BO20" s="88"/>
      <x:c r="BP20" s="89"/>
      <x:c r="BQ20" s="89"/>
      <x:c r="BR20" s="89"/>
      <x:c r="BS20" s="89"/>
      <x:c r="BT20" s="89"/>
      <x:c r="BU20" s="89"/>
      <x:c r="BV20" s="89"/>
      <x:c r="BW20" s="89"/>
      <x:c r="BX20" s="89"/>
      <x:c r="BY20" s="89"/>
      <x:c r="BZ20" s="89"/>
      <x:c r="CA20" s="89"/>
      <x:c r="CB20" s="89"/>
    </x:row>
    <x:row r="21" ht="20" customHeight="1">
      <x:c r="A21" s="81">
        <x:v>3</x:v>
      </x:c>
      <x:c r="B21" s="288" t="s">
        <x:v>291</x:v>
      </x:c>
      <x:c r="C21" s="289" t="s">
        <x:v>292</x:v>
      </x:c>
      <x:c r="D21" s="81" t="s">
        <x:v>104</x:v>
      </x:c>
      <x:c r="E21" s="81" t="s">
        <x:v>136</x:v>
      </x:c>
      <x:c r="F21" s="82">
        <x:v>0</x:v>
      </x:c>
      <x:c r="G21" s="211" t="n">
        <x:v>46214</x:v>
      </x:c>
      <x:c r="H21" s="211" t="n">
        <x:v>46216</x:v>
      </x:c>
      <x:c r="I21" s="83" t="n">
        <x:f t="shared" si="5">IF(OR(ISBLANK(G21),ISBLANK(H21)),"",H21-G21+1)</x:f>
        <x:v>3</x:v>
      </x:c>
      <x:c r="J21" s="215"/>
      <x:c r="K21" s="215"/>
      <x:c r="L21" s="83" t="str">
        <x:f t="shared" si="7"/>
      </x:c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  <x:c r="AA21" s="79"/>
      <x:c r="AB21" s="79"/>
      <x:c r="AC21" s="79"/>
      <x:c r="AD21" s="79"/>
      <x:c r="AE21" s="79"/>
      <x:c r="AF21" s="79"/>
      <x:c r="AG21" s="79"/>
      <x:c r="AH21" s="79"/>
      <x:c r="AI21" s="79"/>
      <x:c r="AJ21" s="79"/>
      <x:c r="AK21" s="79"/>
      <x:c r="AL21" s="79"/>
      <x:c r="AM21" s="79"/>
      <x:c r="AN21" s="79"/>
      <x:c r="AO21" s="79"/>
      <x:c r="AP21" s="79"/>
      <x:c r="AQ21" s="79"/>
      <x:c r="AR21" s="79"/>
      <x:c r="AS21" s="79"/>
      <x:c r="AT21" s="79"/>
      <x:c r="AU21" s="79"/>
      <x:c r="AV21" s="79"/>
      <x:c r="AW21" s="79"/>
      <x:c r="AX21" s="79"/>
      <x:c r="AY21" s="79"/>
      <x:c r="AZ21" s="79"/>
      <x:c r="BA21" s="79"/>
      <x:c r="BB21" s="79"/>
      <x:c r="BC21" s="79"/>
      <x:c r="BD21" s="79"/>
      <x:c r="BE21" s="79"/>
      <x:c r="BF21" s="79"/>
      <x:c r="BG21" s="79"/>
      <x:c r="BH21" s="79"/>
      <x:c r="BI21" s="79"/>
      <x:c r="BJ21" s="79"/>
      <x:c r="BK21" s="79"/>
      <x:c r="BL21" s="79"/>
      <x:c r="BM21" s="79"/>
      <x:c r="BN21" s="79"/>
      <x:c r="BO21" s="80"/>
      <x:c r="BP21" s="84"/>
      <x:c r="BQ21" s="84"/>
      <x:c r="BR21" s="84"/>
      <x:c r="BS21" s="84"/>
      <x:c r="BT21" s="84"/>
      <x:c r="BU21" s="84"/>
      <x:c r="BV21" s="84"/>
      <x:c r="BW21" s="84"/>
      <x:c r="BX21" s="84"/>
      <x:c r="BY21" s="84"/>
      <x:c r="BZ21" s="84"/>
      <x:c r="CA21" s="84"/>
      <x:c r="CB21" s="84"/>
    </x:row>
    <x:row r="22" ht="18" customHeight="1">
      <x:c r="A22" s="91">
        <x:v>4</x:v>
      </x:c>
      <x:c r="B22" s="218" t="s">
        <x:v>186</x:v>
      </x:c>
      <x:c r="C22" s="217" t="s">
        <x:v>293</x:v>
      </x:c>
      <x:c r="D22" s="85" t="s">
        <x:v>107</x:v>
      </x:c>
      <x:c r="E22" s="85" t="s">
        <x:v>136</x:v>
      </x:c>
      <x:c r="F22" s="86">
        <x:v>0</x:v>
      </x:c>
      <x:c r="G22" s="213" t="n">
        <x:v>46215</x:v>
      </x:c>
      <x:c r="H22" s="213" t="n">
        <x:v>46216</x:v>
      </x:c>
      <x:c r="I22" s="87" t="n">
        <x:f t="shared" si="5">IF(OR(ISBLANK(G22),ISBLANK(H22)),"",H22-G22+1)</x:f>
        <x:v>2</x:v>
      </x:c>
      <x:c r="J22" s="212"/>
      <x:c r="K22" s="212"/>
      <x:c r="L22" s="87" t="str">
        <x:f t="shared" si="7"/>
      </x:c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  <x:c r="AJ22" s="79"/>
      <x:c r="AK22" s="79"/>
      <x:c r="AL22" s="79"/>
      <x:c r="AM22" s="79"/>
      <x:c r="AN22" s="79"/>
      <x:c r="AO22" s="79"/>
      <x:c r="AP22" s="79"/>
      <x:c r="AQ22" s="79"/>
      <x:c r="AR22" s="79"/>
      <x:c r="AS22" s="79"/>
      <x:c r="AT22" s="79"/>
      <x:c r="AU22" s="79"/>
      <x:c r="AV22" s="79"/>
      <x:c r="AW22" s="79"/>
      <x:c r="AX22" s="79"/>
      <x:c r="AY22" s="79"/>
      <x:c r="AZ22" s="79"/>
      <x:c r="BA22" s="79"/>
      <x:c r="BB22" s="79"/>
      <x:c r="BC22" s="79"/>
      <x:c r="BD22" s="79"/>
      <x:c r="BE22" s="79"/>
      <x:c r="BF22" s="79"/>
      <x:c r="BG22" s="79"/>
      <x:c r="BH22" s="79"/>
      <x:c r="BI22" s="79"/>
      <x:c r="BJ22" s="79"/>
      <x:c r="BK22" s="79"/>
      <x:c r="BL22" s="79"/>
      <x:c r="BM22" s="79"/>
      <x:c r="BN22" s="79"/>
      <x:c r="BO22" s="80"/>
      <x:c r="BP22" s="84"/>
      <x:c r="BQ22" s="84"/>
      <x:c r="BR22" s="84"/>
      <x:c r="BS22" s="84"/>
      <x:c r="BT22" s="84"/>
      <x:c r="BU22" s="84"/>
      <x:c r="BV22" s="84"/>
      <x:c r="BW22" s="84"/>
      <x:c r="BX22" s="84"/>
      <x:c r="BY22" s="84"/>
      <x:c r="BZ22" s="84"/>
      <x:c r="CA22" s="84"/>
      <x:c r="CB22" s="84"/>
    </x:row>
    <x:row r="23" ht="18" customHeight="1">
      <x:c r="A23" s="92">
        <x:v>5</x:v>
      </x:c>
      <x:c r="B23" s="219" t="s">
        <x:v>294</x:v>
      </x:c>
      <x:c r="C23" s="220" t="s">
        <x:v>295</x:v>
      </x:c>
      <x:c r="D23" s="85" t="s">
        <x:v>107</x:v>
      </x:c>
      <x:c r="E23" s="85" t="s">
        <x:v>136</x:v>
      </x:c>
      <x:c r="F23" s="86">
        <x:v>0</x:v>
      </x:c>
      <x:c r="G23" s="214" t="n">
        <x:v>46215</x:v>
      </x:c>
      <x:c r="H23" s="214" t="n">
        <x:v>46216</x:v>
      </x:c>
      <x:c r="I23" s="93" t="n">
        <x:f t="shared" si="5">IF(OR(ISBLANK(G23),ISBLANK(H23)),"",H23-G23+1)</x:f>
        <x:v>2</x:v>
      </x:c>
      <x:c r="J23" s="212"/>
      <x:c r="K23" s="212"/>
      <x:c r="L23" s="87" t="str">
        <x:f t="shared" si="7"/>
      </x:c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  <x:c r="AA23" s="79"/>
      <x:c r="AB23" s="79"/>
      <x:c r="AC23" s="79"/>
      <x:c r="AD23" s="79"/>
      <x:c r="AE23" s="79"/>
      <x:c r="AF23" s="79"/>
      <x:c r="AG23" s="79"/>
      <x:c r="AH23" s="79"/>
      <x:c r="AI23" s="79"/>
      <x:c r="AJ23" s="79"/>
      <x:c r="AK23" s="79"/>
      <x:c r="AL23" s="79"/>
      <x:c r="AM23" s="79"/>
      <x:c r="AN23" s="79"/>
      <x:c r="AO23" s="79"/>
      <x:c r="AP23" s="79"/>
      <x:c r="AQ23" s="79"/>
      <x:c r="AR23" s="79"/>
      <x:c r="AS23" s="79"/>
      <x:c r="AT23" s="79"/>
      <x:c r="AU23" s="79"/>
      <x:c r="AV23" s="79"/>
      <x:c r="AW23" s="79"/>
      <x:c r="AX23" s="79"/>
      <x:c r="AY23" s="79"/>
      <x:c r="AZ23" s="79"/>
      <x:c r="BA23" s="79"/>
      <x:c r="BB23" s="79"/>
      <x:c r="BC23" s="79"/>
      <x:c r="BD23" s="79"/>
      <x:c r="BE23" s="79"/>
      <x:c r="BF23" s="79"/>
      <x:c r="BG23" s="79"/>
      <x:c r="BH23" s="79"/>
      <x:c r="BI23" s="79"/>
      <x:c r="BJ23" s="79"/>
      <x:c r="BK23" s="79"/>
      <x:c r="BL23" s="79"/>
      <x:c r="BM23" s="79"/>
      <x:c r="BN23" s="79"/>
      <x:c r="BO23" s="80"/>
      <x:c r="BP23" s="84"/>
      <x:c r="BQ23" s="84"/>
      <x:c r="BR23" s="84"/>
      <x:c r="BS23" s="84"/>
      <x:c r="BT23" s="84"/>
      <x:c r="BU23" s="84"/>
      <x:c r="BV23" s="84"/>
      <x:c r="BW23" s="84"/>
      <x:c r="BX23" s="84"/>
      <x:c r="BY23" s="84"/>
      <x:c r="BZ23" s="84"/>
      <x:c r="CA23" s="84"/>
      <x:c r="CB23" s="84"/>
    </x:row>
    <x:row r="24" ht="18" customHeight="1">
      <x:c r="A24" s="92" t="s">
        <x:v>296</x:v>
      </x:c>
      <x:c r="B24" s="219" t="s">
        <x:v>117</x:v>
      </x:c>
      <x:c r="C24" s="217" t="s">
        <x:v>297</x:v>
      </x:c>
      <x:c r="D24" s="85" t="s">
        <x:v>99</x:v>
      </x:c>
      <x:c r="E24" s="85" t="s">
        <x:v>298</x:v>
      </x:c>
      <x:c r="F24" s="86">
        <x:v>0</x:v>
      </x:c>
      <x:c r="G24" s="212" t="n">
        <x:v>46216</x:v>
      </x:c>
      <x:c r="H24" s="212" t="n">
        <x:v>46218</x:v>
      </x:c>
      <x:c r="I24" s="87" t="n">
        <x:f t="shared" si="5">IF(OR(ISBLANK(G24),ISBLANK(H24)),"",H24-G24+1)</x:f>
        <x:v>3</x:v>
      </x:c>
      <x:c r="J24" s="212"/>
      <x:c r="K24" s="212"/>
      <x:c r="L24" s="87" t="str">
        <x:f t="shared" si="7"/>
      </x:c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  <x:c r="AJ24" s="79"/>
      <x:c r="AK24" s="79"/>
      <x:c r="AL24" s="79"/>
      <x:c r="AM24" s="79"/>
      <x:c r="AN24" s="79"/>
      <x:c r="AO24" s="79"/>
      <x:c r="AP24" s="79"/>
      <x:c r="AQ24" s="79"/>
      <x:c r="AR24" s="79"/>
      <x:c r="AS24" s="79"/>
      <x:c r="AT24" s="79"/>
      <x:c r="AU24" s="79"/>
      <x:c r="AV24" s="79"/>
      <x:c r="AW24" s="79"/>
      <x:c r="AX24" s="79"/>
      <x:c r="AY24" s="79"/>
      <x:c r="AZ24" s="79"/>
      <x:c r="BA24" s="79"/>
      <x:c r="BB24" s="79"/>
      <x:c r="BC24" s="79"/>
      <x:c r="BD24" s="79"/>
      <x:c r="BE24" s="79"/>
      <x:c r="BF24" s="79"/>
      <x:c r="BG24" s="79"/>
      <x:c r="BH24" s="79"/>
      <x:c r="BI24" s="79"/>
      <x:c r="BJ24" s="79"/>
      <x:c r="BK24" s="79"/>
      <x:c r="BL24" s="79"/>
      <x:c r="BM24" s="79"/>
      <x:c r="BN24" s="79"/>
      <x:c r="BO24" s="80"/>
      <x:c r="BP24" s="84"/>
      <x:c r="BQ24" s="84"/>
      <x:c r="BR24" s="84"/>
      <x:c r="BS24" s="84"/>
      <x:c r="BT24" s="84"/>
      <x:c r="BU24" s="84"/>
      <x:c r="BV24" s="84"/>
      <x:c r="BW24" s="84"/>
      <x:c r="BX24" s="84"/>
      <x:c r="BY24" s="84"/>
      <x:c r="BZ24" s="84"/>
      <x:c r="CA24" s="84"/>
      <x:c r="CB24" s="84"/>
    </x:row>
    <x:row r="25" ht="18" customHeight="1">
      <x:c r="A25" s="92">
        <x:v>1</x:v>
      </x:c>
      <x:c r="B25" s="219" t="s">
        <x:v>299</x:v>
      </x:c>
      <x:c r="C25" s="217" t="s">
        <x:v>300</x:v>
      </x:c>
      <x:c r="D25" s="85" t="s">
        <x:v>104</x:v>
      </x:c>
      <x:c r="E25" s="85" t="s">
        <x:v>285</x:v>
      </x:c>
      <x:c r="F25" s="86">
        <x:v>0</x:v>
      </x:c>
      <x:c r="G25" s="212" t="n">
        <x:v>46216</x:v>
      </x:c>
      <x:c r="H25" s="212" t="n">
        <x:v>46217</x:v>
      </x:c>
      <x:c r="I25" s="87" t="n">
        <x:f t="shared" si="5">IF(OR(ISBLANK(G25),ISBLANK(H25)),"",H25-G25+1)</x:f>
        <x:v>2</x:v>
      </x:c>
      <x:c r="J25" s="212"/>
      <x:c r="K25" s="212"/>
      <x:c r="L25" s="87" t="str">
        <x:f t="shared" si="7"/>
      </x:c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  <x:c r="AA25" s="79"/>
      <x:c r="AB25" s="79"/>
      <x:c r="AC25" s="79"/>
      <x:c r="AD25" s="79"/>
      <x:c r="AE25" s="79"/>
      <x:c r="AF25" s="79"/>
      <x:c r="AG25" s="79"/>
      <x:c r="AH25" s="79"/>
      <x:c r="AI25" s="79"/>
      <x:c r="AJ25" s="79"/>
      <x:c r="AK25" s="79"/>
      <x:c r="AL25" s="79"/>
      <x:c r="AM25" s="79"/>
      <x:c r="AN25" s="79"/>
      <x:c r="AO25" s="79"/>
      <x:c r="AP25" s="79"/>
      <x:c r="AQ25" s="79"/>
      <x:c r="AR25" s="79"/>
      <x:c r="AS25" s="79"/>
      <x:c r="AT25" s="79"/>
      <x:c r="AU25" s="79"/>
      <x:c r="AV25" s="79"/>
      <x:c r="AW25" s="79"/>
      <x:c r="AX25" s="79"/>
      <x:c r="AY25" s="79"/>
      <x:c r="AZ25" s="79"/>
      <x:c r="BA25" s="79"/>
      <x:c r="BB25" s="79"/>
      <x:c r="BC25" s="79"/>
      <x:c r="BD25" s="79"/>
      <x:c r="BE25" s="79"/>
      <x:c r="BF25" s="79"/>
      <x:c r="BG25" s="79"/>
      <x:c r="BH25" s="79"/>
      <x:c r="BI25" s="79"/>
      <x:c r="BJ25" s="79"/>
      <x:c r="BK25" s="79"/>
      <x:c r="BL25" s="79"/>
      <x:c r="BM25" s="79"/>
      <x:c r="BN25" s="79"/>
      <x:c r="BO25" s="80"/>
      <x:c r="BP25" s="84"/>
      <x:c r="BQ25" s="84"/>
      <x:c r="BR25" s="84"/>
      <x:c r="BS25" s="84"/>
      <x:c r="BT25" s="84"/>
      <x:c r="BU25" s="84"/>
      <x:c r="BV25" s="84"/>
      <x:c r="BW25" s="84"/>
      <x:c r="BX25" s="84"/>
      <x:c r="BY25" s="84"/>
      <x:c r="BZ25" s="84"/>
      <x:c r="CA25" s="84"/>
      <x:c r="CB25" s="84"/>
    </x:row>
    <x:row r="26" ht="18" customHeight="1">
      <x:c r="A26" s="92">
        <x:v>2</x:v>
      </x:c>
      <x:c r="B26" s="219" t="s">
        <x:v>301</x:v>
      </x:c>
      <x:c r="C26" s="217" t="s">
        <x:v>302</x:v>
      </x:c>
      <x:c r="D26" s="85" t="s">
        <x:v>303</x:v>
      </x:c>
      <x:c r="E26" s="85" t="s">
        <x:v>278</x:v>
      </x:c>
      <x:c r="F26" s="86">
        <x:v>0</x:v>
      </x:c>
      <x:c r="G26" s="212" t="n">
        <x:v>46216</x:v>
      </x:c>
      <x:c r="H26" s="212" t="n">
        <x:v>46217</x:v>
      </x:c>
      <x:c r="I26" s="87" t="n">
        <x:f t="shared" si="5">IF(OR(ISBLANK(G26),ISBLANK(H26)),"",H26-G26+1)</x:f>
        <x:v>2</x:v>
      </x:c>
      <x:c r="J26" s="212"/>
      <x:c r="K26" s="212"/>
      <x:c r="L26" s="87" t="str">
        <x:f t="shared" si="7"/>
      </x:c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  <x:c r="AJ26" s="79"/>
      <x:c r="AK26" s="79"/>
      <x:c r="AL26" s="79"/>
      <x:c r="AM26" s="79"/>
      <x:c r="AN26" s="79"/>
      <x:c r="AO26" s="79"/>
      <x:c r="AP26" s="79"/>
      <x:c r="AQ26" s="79"/>
      <x:c r="AR26" s="79"/>
      <x:c r="AS26" s="79"/>
      <x:c r="AT26" s="79"/>
      <x:c r="AU26" s="79"/>
      <x:c r="AV26" s="79"/>
      <x:c r="AW26" s="79"/>
      <x:c r="AX26" s="79"/>
      <x:c r="AY26" s="79"/>
      <x:c r="AZ26" s="79"/>
      <x:c r="BA26" s="79"/>
      <x:c r="BB26" s="79"/>
      <x:c r="BC26" s="79"/>
      <x:c r="BD26" s="79"/>
      <x:c r="BE26" s="79"/>
      <x:c r="BF26" s="79"/>
      <x:c r="BG26" s="79"/>
      <x:c r="BH26" s="79"/>
      <x:c r="BI26" s="79"/>
      <x:c r="BJ26" s="79"/>
      <x:c r="BK26" s="79"/>
      <x:c r="BL26" s="79"/>
      <x:c r="BM26" s="79"/>
      <x:c r="BN26" s="79"/>
      <x:c r="BO26" s="80"/>
      <x:c r="BP26" s="84"/>
      <x:c r="BQ26" s="84"/>
      <x:c r="BR26" s="84"/>
      <x:c r="BS26" s="84"/>
      <x:c r="BT26" s="84"/>
      <x:c r="BU26" s="84"/>
      <x:c r="BV26" s="84"/>
      <x:c r="BW26" s="84"/>
      <x:c r="BX26" s="84"/>
      <x:c r="BY26" s="84"/>
      <x:c r="BZ26" s="84"/>
      <x:c r="CA26" s="84"/>
      <x:c r="CB26" s="84"/>
    </x:row>
    <x:row r="27" ht="18" customHeight="1">
      <x:c r="A27" s="92">
        <x:v>3</x:v>
      </x:c>
      <x:c r="B27" s="219" t="s">
        <x:v>199</x:v>
      </x:c>
      <x:c r="C27" s="217" t="s">
        <x:v>304</x:v>
      </x:c>
      <x:c r="D27" s="85" t="s">
        <x:v>285</x:v>
      </x:c>
      <x:c r="E27" s="85" t="s">
        <x:v>305</x:v>
      </x:c>
      <x:c r="F27" s="86">
        <x:v>0</x:v>
      </x:c>
      <x:c r="G27" s="212" t="n">
        <x:v>46217</x:v>
      </x:c>
      <x:c r="H27" s="212" t="n">
        <x:v>46217</x:v>
      </x:c>
      <x:c r="I27" s="87" t="n">
        <x:f t="shared" si="5">IF(OR(ISBLANK(G27),ISBLANK(H27)),"",H27-G27+1)</x:f>
        <x:v>1</x:v>
      </x:c>
      <x:c r="J27" s="212"/>
      <x:c r="K27" s="212"/>
      <x:c r="L27" s="87" t="str">
        <x:f t="shared" si="7"/>
      </x:c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  <x:c r="AA27" s="79"/>
      <x:c r="AB27" s="79"/>
      <x:c r="AC27" s="79"/>
      <x:c r="AD27" s="79"/>
      <x:c r="AE27" s="79"/>
      <x:c r="AF27" s="79"/>
      <x:c r="AG27" s="79"/>
      <x:c r="AH27" s="79"/>
      <x:c r="AI27" s="79"/>
      <x:c r="AJ27" s="79"/>
      <x:c r="AK27" s="79"/>
      <x:c r="AL27" s="79"/>
      <x:c r="AM27" s="79"/>
      <x:c r="AN27" s="79"/>
      <x:c r="AO27" s="79"/>
      <x:c r="AP27" s="79"/>
      <x:c r="AQ27" s="79"/>
      <x:c r="AR27" s="79"/>
      <x:c r="AS27" s="79"/>
      <x:c r="AT27" s="79"/>
      <x:c r="AU27" s="79"/>
      <x:c r="AV27" s="79"/>
      <x:c r="AW27" s="79"/>
      <x:c r="AX27" s="79"/>
      <x:c r="AY27" s="79"/>
      <x:c r="AZ27" s="79"/>
      <x:c r="BA27" s="79"/>
      <x:c r="BB27" s="79"/>
      <x:c r="BC27" s="79"/>
      <x:c r="BD27" s="79"/>
      <x:c r="BE27" s="79"/>
      <x:c r="BF27" s="79"/>
      <x:c r="BG27" s="79"/>
      <x:c r="BH27" s="79"/>
      <x:c r="BI27" s="79"/>
      <x:c r="BJ27" s="79"/>
      <x:c r="BK27" s="79"/>
      <x:c r="BL27" s="79"/>
      <x:c r="BM27" s="79"/>
      <x:c r="BN27" s="79"/>
      <x:c r="BO27" s="80"/>
      <x:c r="BP27" s="84"/>
      <x:c r="BQ27" s="84"/>
      <x:c r="BR27" s="84"/>
      <x:c r="BS27" s="84"/>
      <x:c r="BT27" s="84"/>
      <x:c r="BU27" s="84"/>
      <x:c r="BV27" s="84"/>
      <x:c r="BW27" s="84"/>
      <x:c r="BX27" s="84"/>
      <x:c r="BY27" s="84"/>
      <x:c r="BZ27" s="84"/>
      <x:c r="CA27" s="84"/>
      <x:c r="CB27" s="84"/>
    </x:row>
    <x:row r="28" ht="18" customHeight="1">
      <x:c r="A28" s="92">
        <x:v>4</x:v>
      </x:c>
      <x:c r="B28" s="219" t="s">
        <x:v>202</x:v>
      </x:c>
      <x:c r="C28" s="217" t="s">
        <x:v>203</x:v>
      </x:c>
      <x:c r="D28" s="85" t="s">
        <x:v>107</x:v>
      </x:c>
      <x:c r="E28" s="85" t="s">
        <x:v>136</x:v>
      </x:c>
      <x:c r="F28" s="86">
        <x:v>0</x:v>
      </x:c>
      <x:c r="G28" s="212" t="n">
        <x:v>46217</x:v>
      </x:c>
      <x:c r="H28" s="212" t="n">
        <x:v>46218</x:v>
      </x:c>
      <x:c r="I28" s="87" t="n">
        <x:f t="shared" si="5">IF(OR(ISBLANK(G28),ISBLANK(H28)),"",H28-G28+1)</x:f>
        <x:v>2</x:v>
      </x:c>
      <x:c r="J28" s="212"/>
      <x:c r="K28" s="212"/>
      <x:c r="L28" s="87" t="str">
        <x:f t="shared" si="7"/>
      </x:c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  <x:c r="AJ28" s="79"/>
      <x:c r="AK28" s="79"/>
      <x:c r="AL28" s="79"/>
      <x:c r="AM28" s="79"/>
      <x:c r="AN28" s="79"/>
      <x:c r="AO28" s="79"/>
      <x:c r="AP28" s="79"/>
      <x:c r="AQ28" s="79"/>
      <x:c r="AR28" s="79"/>
      <x:c r="AS28" s="79"/>
      <x:c r="AT28" s="79"/>
      <x:c r="AU28" s="79"/>
      <x:c r="AV28" s="79"/>
      <x:c r="AW28" s="79"/>
      <x:c r="AX28" s="79"/>
      <x:c r="AY28" s="79"/>
      <x:c r="AZ28" s="79"/>
      <x:c r="BA28" s="79"/>
      <x:c r="BB28" s="79"/>
      <x:c r="BC28" s="79"/>
      <x:c r="BD28" s="79"/>
      <x:c r="BE28" s="79"/>
      <x:c r="BF28" s="79"/>
      <x:c r="BG28" s="79"/>
      <x:c r="BH28" s="79"/>
      <x:c r="BI28" s="79"/>
      <x:c r="BJ28" s="79"/>
      <x:c r="BK28" s="79"/>
      <x:c r="BL28" s="79"/>
      <x:c r="BM28" s="79"/>
      <x:c r="BN28" s="79"/>
      <x:c r="BO28" s="80"/>
      <x:c r="BP28" s="84"/>
      <x:c r="BQ28" s="84"/>
      <x:c r="BR28" s="84"/>
      <x:c r="BS28" s="84"/>
      <x:c r="BT28" s="84"/>
      <x:c r="BU28" s="84"/>
      <x:c r="BV28" s="84"/>
      <x:c r="BW28" s="84"/>
      <x:c r="BX28" s="84"/>
      <x:c r="BY28" s="84"/>
      <x:c r="BZ28" s="84"/>
      <x:c r="CA28" s="84"/>
      <x:c r="CB28" s="84"/>
    </x:row>
    <x:row r="29" ht="18" customHeight="1">
      <x:c r="A29" s="92" t="s">
        <x:v>306</x:v>
      </x:c>
      <x:c r="B29" s="219" t="s">
        <x:v>125</x:v>
      </x:c>
      <x:c r="C29" s="217" t="s">
        <x:v>307</x:v>
      </x:c>
      <x:c r="D29" s="85" t="s">
        <x:v>99</x:v>
      </x:c>
      <x:c r="E29" s="85" t="s">
        <x:v>308</x:v>
      </x:c>
      <x:c r="F29" s="86">
        <x:v>0</x:v>
      </x:c>
      <x:c r="G29" s="212" t="n">
        <x:v>46217</x:v>
      </x:c>
      <x:c r="H29" s="212" t="n">
        <x:v>46219</x:v>
      </x:c>
      <x:c r="I29" s="87" t="n">
        <x:f t="shared" si="5">IF(OR(ISBLANK(G29),ISBLANK(H29)),"",H29-G29+1)</x:f>
        <x:v>3</x:v>
      </x:c>
      <x:c r="J29" s="212"/>
      <x:c r="K29" s="212"/>
      <x:c r="L29" s="87" t="str">
        <x:f t="shared" si="7"/>
      </x:c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  <x:c r="AA29" s="79"/>
      <x:c r="AB29" s="79"/>
      <x:c r="AC29" s="79"/>
      <x:c r="AD29" s="79"/>
      <x:c r="AE29" s="79"/>
      <x:c r="AF29" s="79"/>
      <x:c r="AG29" s="79"/>
      <x:c r="AH29" s="79"/>
      <x:c r="AI29" s="79"/>
      <x:c r="AJ29" s="79"/>
      <x:c r="AK29" s="79"/>
      <x:c r="AL29" s="79"/>
      <x:c r="AM29" s="79"/>
      <x:c r="AN29" s="79"/>
      <x:c r="AO29" s="79"/>
      <x:c r="AP29" s="79"/>
      <x:c r="AQ29" s="79"/>
      <x:c r="AR29" s="79"/>
      <x:c r="AS29" s="79"/>
      <x:c r="AT29" s="79"/>
      <x:c r="AU29" s="79"/>
      <x:c r="AV29" s="79"/>
      <x:c r="AW29" s="79"/>
      <x:c r="AX29" s="79"/>
      <x:c r="AY29" s="79"/>
      <x:c r="AZ29" s="79"/>
      <x:c r="BA29" s="79"/>
      <x:c r="BB29" s="79"/>
      <x:c r="BC29" s="79"/>
      <x:c r="BD29" s="79"/>
      <x:c r="BE29" s="79"/>
      <x:c r="BF29" s="79"/>
      <x:c r="BG29" s="79"/>
      <x:c r="BH29" s="79"/>
      <x:c r="BI29" s="79"/>
      <x:c r="BJ29" s="79"/>
      <x:c r="BK29" s="79"/>
      <x:c r="BL29" s="79"/>
      <x:c r="BM29" s="79"/>
      <x:c r="BN29" s="79"/>
      <x:c r="BO29" s="80"/>
      <x:c r="BP29" s="84"/>
      <x:c r="BQ29" s="84"/>
      <x:c r="BR29" s="84"/>
      <x:c r="BS29" s="84"/>
      <x:c r="BT29" s="84"/>
      <x:c r="BU29" s="84"/>
      <x:c r="BV29" s="84"/>
      <x:c r="BW29" s="84"/>
      <x:c r="BX29" s="84"/>
      <x:c r="BY29" s="84"/>
      <x:c r="BZ29" s="84"/>
      <x:c r="CA29" s="84"/>
      <x:c r="CB29" s="84"/>
    </x:row>
    <x:row r="30" ht="18" customHeight="1">
      <x:c r="A30" s="92">
        <x:v>1</x:v>
      </x:c>
      <x:c r="B30" s="219" t="s">
        <x:v>309</x:v>
      </x:c>
      <x:c r="C30" s="217" t="s">
        <x:v>310</x:v>
      </x:c>
      <x:c r="D30" s="85" t="s">
        <x:v>107</x:v>
      </x:c>
      <x:c r="E30" s="85" t="s">
        <x:v>136</x:v>
      </x:c>
      <x:c r="F30" s="86">
        <x:v>0</x:v>
      </x:c>
      <x:c r="G30" s="212" t="n">
        <x:v>46217</x:v>
      </x:c>
      <x:c r="H30" s="212" t="n">
        <x:v>46218</x:v>
      </x:c>
      <x:c r="I30" s="87" t="n">
        <x:f t="shared" si="5">IF(OR(ISBLANK(G30),ISBLANK(H30)),"",H30-G30+1)</x:f>
        <x:v>2</x:v>
      </x:c>
      <x:c r="J30" s="212"/>
      <x:c r="K30" s="212"/>
      <x:c r="L30" s="87" t="str">
        <x:f t="shared" si="7"/>
      </x:c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  <x:c r="AJ30" s="79"/>
      <x:c r="AK30" s="79"/>
      <x:c r="AL30" s="79"/>
      <x:c r="AM30" s="79"/>
      <x:c r="AN30" s="79"/>
      <x:c r="AO30" s="79"/>
      <x:c r="AP30" s="79"/>
      <x:c r="AQ30" s="79"/>
      <x:c r="AR30" s="79"/>
      <x:c r="AS30" s="79"/>
      <x:c r="AT30" s="79"/>
      <x:c r="AU30" s="79"/>
      <x:c r="AV30" s="79"/>
      <x:c r="AW30" s="79"/>
      <x:c r="AX30" s="79"/>
      <x:c r="AY30" s="79"/>
      <x:c r="AZ30" s="79"/>
      <x:c r="BA30" s="79"/>
      <x:c r="BB30" s="79"/>
      <x:c r="BC30" s="79"/>
      <x:c r="BD30" s="79"/>
      <x:c r="BE30" s="79"/>
      <x:c r="BF30" s="79"/>
      <x:c r="BG30" s="79"/>
      <x:c r="BH30" s="79"/>
      <x:c r="BI30" s="79"/>
      <x:c r="BJ30" s="79"/>
      <x:c r="BK30" s="79"/>
      <x:c r="BL30" s="79"/>
      <x:c r="BM30" s="79"/>
      <x:c r="BN30" s="79"/>
      <x:c r="BO30" s="80"/>
      <x:c r="BP30" s="84"/>
      <x:c r="BQ30" s="84"/>
      <x:c r="BR30" s="84"/>
      <x:c r="BS30" s="84"/>
      <x:c r="BT30" s="84"/>
      <x:c r="BU30" s="84"/>
      <x:c r="BV30" s="84"/>
      <x:c r="BW30" s="84"/>
      <x:c r="BX30" s="84"/>
      <x:c r="BY30" s="84"/>
      <x:c r="BZ30" s="84"/>
      <x:c r="CA30" s="84"/>
      <x:c r="CB30" s="84"/>
    </x:row>
    <x:row r="31" ht="18" customHeight="1">
      <x:c r="A31" s="92">
        <x:v>2</x:v>
      </x:c>
      <x:c r="B31" s="219" t="s">
        <x:v>311</x:v>
      </x:c>
      <x:c r="C31" s="217" t="s">
        <x:v>312</x:v>
      </x:c>
      <x:c r="D31" s="85" t="s">
        <x:v>107</x:v>
      </x:c>
      <x:c r="E31" s="85" t="s">
        <x:v>136</x:v>
      </x:c>
      <x:c r="F31" s="86">
        <x:v>0</x:v>
      </x:c>
      <x:c r="G31" s="212" t="n">
        <x:v>46218</x:v>
      </x:c>
      <x:c r="H31" s="212" t="n">
        <x:v>46219</x:v>
      </x:c>
      <x:c r="I31" s="87" t="n">
        <x:f t="shared" si="5">IF(OR(ISBLANK(G31),ISBLANK(H31)),"",H31-G31+1)</x:f>
        <x:v>2</x:v>
      </x:c>
      <x:c r="J31" s="212"/>
      <x:c r="K31" s="212"/>
      <x:c r="L31" s="87" t="str">
        <x:f t="shared" si="7"/>
      </x:c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  <x:c r="AA31" s="79"/>
      <x:c r="AB31" s="79"/>
      <x:c r="AC31" s="79"/>
      <x:c r="AD31" s="79"/>
      <x:c r="AE31" s="79"/>
      <x:c r="AF31" s="79"/>
      <x:c r="AG31" s="79"/>
      <x:c r="AH31" s="79"/>
      <x:c r="AI31" s="79"/>
      <x:c r="AJ31" s="79"/>
      <x:c r="AK31" s="79"/>
      <x:c r="AL31" s="79"/>
      <x:c r="AM31" s="79"/>
      <x:c r="AN31" s="79"/>
      <x:c r="AO31" s="79"/>
      <x:c r="AP31" s="79"/>
      <x:c r="AQ31" s="79"/>
      <x:c r="AR31" s="79"/>
      <x:c r="AS31" s="79"/>
      <x:c r="AT31" s="79"/>
      <x:c r="AU31" s="79"/>
      <x:c r="AV31" s="79"/>
      <x:c r="AW31" s="79"/>
      <x:c r="AX31" s="79"/>
      <x:c r="AY31" s="79"/>
      <x:c r="AZ31" s="79"/>
      <x:c r="BA31" s="79"/>
      <x:c r="BB31" s="79"/>
      <x:c r="BC31" s="79"/>
      <x:c r="BD31" s="79"/>
      <x:c r="BE31" s="79"/>
      <x:c r="BF31" s="79"/>
      <x:c r="BG31" s="79"/>
      <x:c r="BH31" s="79"/>
      <x:c r="BI31" s="79"/>
      <x:c r="BJ31" s="79"/>
      <x:c r="BK31" s="79"/>
      <x:c r="BL31" s="79"/>
      <x:c r="BM31" s="79"/>
      <x:c r="BN31" s="79"/>
      <x:c r="BO31" s="80"/>
      <x:c r="BP31" s="84"/>
      <x:c r="BQ31" s="84"/>
      <x:c r="BR31" s="84"/>
      <x:c r="BS31" s="84"/>
      <x:c r="BT31" s="84"/>
      <x:c r="BU31" s="84"/>
      <x:c r="BV31" s="84"/>
      <x:c r="BW31" s="84"/>
      <x:c r="BX31" s="84"/>
      <x:c r="BY31" s="84"/>
      <x:c r="BZ31" s="84"/>
      <x:c r="CA31" s="84"/>
      <x:c r="CB31" s="84"/>
    </x:row>
    <x:row r="32" ht="18" customHeight="1">
      <x:c r="A32" s="92">
        <x:v>3</x:v>
      </x:c>
      <x:c r="B32" s="219" t="s">
        <x:v>313</x:v>
      </x:c>
      <x:c r="C32" s="217" t="s">
        <x:v>314</x:v>
      </x:c>
      <x:c r="D32" s="85" t="s">
        <x:v>104</x:v>
      </x:c>
      <x:c r="E32" s="85" t="s">
        <x:v>278</x:v>
      </x:c>
      <x:c r="F32" s="86">
        <x:v>0</x:v>
      </x:c>
      <x:c r="G32" s="212" t="n">
        <x:v>46218</x:v>
      </x:c>
      <x:c r="H32" s="212" t="n">
        <x:v>46219</x:v>
      </x:c>
      <x:c r="I32" s="87" t="n">
        <x:f t="shared" si="5">IF(OR(ISBLANK(G32),ISBLANK(H32)),"",H32-G32+1)</x:f>
        <x:v>2</x:v>
      </x:c>
      <x:c r="J32" s="212"/>
      <x:c r="K32" s="212"/>
      <x:c r="L32" s="87" t="str">
        <x:f t="shared" si="7"/>
      </x:c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  <x:c r="AJ32" s="79"/>
      <x:c r="AK32" s="79"/>
      <x:c r="AL32" s="79"/>
      <x:c r="AM32" s="79"/>
      <x:c r="AN32" s="79"/>
      <x:c r="AO32" s="79"/>
      <x:c r="AP32" s="79"/>
      <x:c r="AQ32" s="79"/>
      <x:c r="AR32" s="79"/>
      <x:c r="AS32" s="79"/>
      <x:c r="AT32" s="79"/>
      <x:c r="AU32" s="79"/>
      <x:c r="AV32" s="79"/>
      <x:c r="AW32" s="79"/>
      <x:c r="AX32" s="79"/>
      <x:c r="AY32" s="79"/>
      <x:c r="AZ32" s="79"/>
      <x:c r="BA32" s="79"/>
      <x:c r="BB32" s="79"/>
      <x:c r="BC32" s="79"/>
      <x:c r="BD32" s="79"/>
      <x:c r="BE32" s="79"/>
      <x:c r="BF32" s="79"/>
      <x:c r="BG32" s="79"/>
      <x:c r="BH32" s="79"/>
      <x:c r="BI32" s="79"/>
      <x:c r="BJ32" s="79"/>
      <x:c r="BK32" s="79"/>
      <x:c r="BL32" s="79"/>
      <x:c r="BM32" s="79"/>
      <x:c r="BN32" s="79"/>
      <x:c r="BO32" s="80"/>
      <x:c r="BP32" s="84"/>
      <x:c r="BQ32" s="84"/>
      <x:c r="BR32" s="84"/>
      <x:c r="BS32" s="84"/>
      <x:c r="BT32" s="84"/>
      <x:c r="BU32" s="84"/>
      <x:c r="BV32" s="84"/>
      <x:c r="BW32" s="84"/>
      <x:c r="BX32" s="84"/>
      <x:c r="BY32" s="84"/>
      <x:c r="BZ32" s="84"/>
      <x:c r="CA32" s="84"/>
      <x:c r="CB32" s="84"/>
    </x:row>
    <x:row r="33" ht="18" customHeight="1">
      <x:c r="A33" s="92">
        <x:v>4</x:v>
      </x:c>
      <x:c r="B33" s="219" t="s">
        <x:v>131</x:v>
      </x:c>
      <x:c r="C33" s="217" t="s">
        <x:v>315</x:v>
      </x:c>
      <x:c r="D33" s="85" t="s">
        <x:v>107</x:v>
      </x:c>
      <x:c r="E33" s="85" t="s">
        <x:v>136</x:v>
      </x:c>
      <x:c r="F33" s="86">
        <x:v>0</x:v>
      </x:c>
      <x:c r="G33" s="212" t="n">
        <x:v>46219</x:v>
      </x:c>
      <x:c r="H33" s="212" t="n">
        <x:v>46219</x:v>
      </x:c>
      <x:c r="I33" s="87" t="n">
        <x:f t="shared" si="5">IF(OR(ISBLANK(G33),ISBLANK(H33)),"",H33-G33+1)</x:f>
        <x:v>1</x:v>
      </x:c>
      <x:c r="J33" s="212"/>
      <x:c r="K33" s="212"/>
      <x:c r="L33" s="87" t="str">
        <x:f t="shared" si="7"/>
      </x:c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  <x:c r="AA33" s="79"/>
      <x:c r="AB33" s="79"/>
      <x:c r="AC33" s="79"/>
      <x:c r="AD33" s="79"/>
      <x:c r="AE33" s="79"/>
      <x:c r="AF33" s="79"/>
      <x:c r="AG33" s="79"/>
      <x:c r="AH33" s="79"/>
      <x:c r="AI33" s="79"/>
      <x:c r="AJ33" s="79"/>
      <x:c r="AK33" s="79"/>
      <x:c r="AL33" s="79"/>
      <x:c r="AM33" s="79"/>
      <x:c r="AN33" s="79"/>
      <x:c r="AO33" s="79"/>
      <x:c r="AP33" s="79"/>
      <x:c r="AQ33" s="79"/>
      <x:c r="AR33" s="79"/>
      <x:c r="AS33" s="79"/>
      <x:c r="AT33" s="79"/>
      <x:c r="AU33" s="79"/>
      <x:c r="AV33" s="79"/>
      <x:c r="AW33" s="79"/>
      <x:c r="AX33" s="79"/>
      <x:c r="AY33" s="79"/>
      <x:c r="AZ33" s="79"/>
      <x:c r="BA33" s="79"/>
      <x:c r="BB33" s="79"/>
      <x:c r="BC33" s="79"/>
      <x:c r="BD33" s="79"/>
      <x:c r="BE33" s="79"/>
      <x:c r="BF33" s="79"/>
      <x:c r="BG33" s="79"/>
      <x:c r="BH33" s="79"/>
      <x:c r="BI33" s="79"/>
      <x:c r="BJ33" s="79"/>
      <x:c r="BK33" s="79"/>
      <x:c r="BL33" s="79"/>
      <x:c r="BM33" s="79"/>
      <x:c r="BN33" s="79"/>
      <x:c r="BO33" s="80"/>
      <x:c r="BP33" s="84"/>
      <x:c r="BQ33" s="84"/>
      <x:c r="BR33" s="84"/>
      <x:c r="BS33" s="84"/>
      <x:c r="BT33" s="84"/>
      <x:c r="BU33" s="84"/>
      <x:c r="BV33" s="84"/>
      <x:c r="BW33" s="84"/>
      <x:c r="BX33" s="84"/>
      <x:c r="BY33" s="84"/>
      <x:c r="BZ33" s="84"/>
      <x:c r="CA33" s="84"/>
      <x:c r="CB33" s="84"/>
    </x:row>
    <x:row r="34" ht="18" customHeight="1">
      <x:c r="A34" s="92" t="s">
        <x:v>316</x:v>
      </x:c>
      <x:c r="B34" s="221" t="s">
        <x:v>317</x:v>
      </x:c>
      <x:c r="C34" s="217" t="s">
        <x:v>318</x:v>
      </x:c>
      <x:c r="D34" s="85" t="s">
        <x:v>93</x:v>
      </x:c>
      <x:c r="E34" s="85" t="s">
        <x:v>319</x:v>
      </x:c>
      <x:c r="F34" s="86">
        <x:v>0</x:v>
      </x:c>
      <x:c r="G34" s="214" t="n">
        <x:v>46219</x:v>
      </x:c>
      <x:c r="H34" s="214" t="n">
        <x:v>46221</x:v>
      </x:c>
      <x:c r="I34" s="93" t="n">
        <x:f t="shared" si="5">IF(OR(ISBLANK(G34),ISBLANK(H34)),"",H34-G34+1)</x:f>
        <x:v>3</x:v>
      </x:c>
      <x:c r="J34" s="212"/>
      <x:c r="K34" s="212"/>
      <x:c r="L34" s="87" t="str">
        <x:f t="shared" si="7"/>
      </x:c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  <x:c r="AA34" s="79"/>
      <x:c r="AB34" s="79"/>
      <x:c r="AC34" s="79"/>
      <x:c r="AD34" s="79"/>
      <x:c r="AE34" s="79"/>
      <x:c r="AF34" s="79"/>
      <x:c r="AG34" s="79"/>
      <x:c r="AH34" s="79"/>
      <x:c r="AI34" s="79"/>
      <x:c r="AJ34" s="79"/>
      <x:c r="AK34" s="79"/>
      <x:c r="AL34" s="79"/>
      <x:c r="AM34" s="79"/>
      <x:c r="AN34" s="79"/>
      <x:c r="AO34" s="79"/>
      <x:c r="AP34" s="79"/>
      <x:c r="AQ34" s="79"/>
      <x:c r="AR34" s="79"/>
      <x:c r="AS34" s="79"/>
      <x:c r="AT34" s="79"/>
      <x:c r="AU34" s="79"/>
      <x:c r="AV34" s="79"/>
      <x:c r="AW34" s="79"/>
      <x:c r="AX34" s="79"/>
      <x:c r="AY34" s="79"/>
      <x:c r="AZ34" s="79"/>
      <x:c r="BA34" s="79"/>
      <x:c r="BB34" s="79"/>
      <x:c r="BC34" s="79"/>
      <x:c r="BD34" s="79"/>
      <x:c r="BE34" s="79"/>
      <x:c r="BF34" s="79"/>
      <x:c r="BG34" s="79"/>
      <x:c r="BH34" s="79"/>
      <x:c r="BI34" s="79"/>
      <x:c r="BJ34" s="79"/>
      <x:c r="BK34" s="79"/>
      <x:c r="BL34" s="79"/>
      <x:c r="BM34" s="79"/>
      <x:c r="BN34" s="79"/>
      <x:c r="BO34" s="80"/>
      <x:c r="BP34" s="84"/>
      <x:c r="BQ34" s="84"/>
      <x:c r="BR34" s="84"/>
      <x:c r="BS34" s="84"/>
      <x:c r="BT34" s="84"/>
      <x:c r="BU34" s="84"/>
      <x:c r="BV34" s="84"/>
      <x:c r="BW34" s="84"/>
      <x:c r="BX34" s="84"/>
      <x:c r="BY34" s="84"/>
      <x:c r="BZ34" s="84"/>
      <x:c r="CA34" s="84"/>
      <x:c r="CB34" s="84"/>
    </x:row>
    <x:row r="35" ht="18" customHeight="1">
      <x:c r="A35" s="92">
        <x:v>1</x:v>
      </x:c>
      <x:c r="B35" s="219" t="s">
        <x:v>320</x:v>
      </x:c>
      <x:c r="C35" s="217" t="s">
        <x:v>321</x:v>
      </x:c>
      <x:c r="D35" s="85" t="s">
        <x:v>136</x:v>
      </x:c>
      <x:c r="E35" s="85" t="s">
        <x:v>275</x:v>
      </x:c>
      <x:c r="F35" s="86">
        <x:v>0</x:v>
      </x:c>
      <x:c r="G35" s="212" t="n">
        <x:v>46219</x:v>
      </x:c>
      <x:c r="H35" s="212" t="n">
        <x:v>46220</x:v>
      </x:c>
      <x:c r="I35" s="87" t="n">
        <x:f t="shared" si="5">IF(OR(ISBLANK(G35),ISBLANK(H35)),"",H35-G35+1)</x:f>
        <x:v>2</x:v>
      </x:c>
      <x:c r="J35" s="212"/>
      <x:c r="K35" s="212"/>
      <x:c r="L35" s="87" t="str">
        <x:f t="shared" si="7"/>
      </x:c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  <x:c r="AA35" s="79"/>
      <x:c r="AB35" s="79"/>
      <x:c r="AC35" s="79"/>
      <x:c r="AD35" s="79"/>
      <x:c r="AE35" s="79"/>
      <x:c r="AF35" s="79"/>
      <x:c r="AG35" s="79"/>
      <x:c r="AH35" s="79"/>
      <x:c r="AI35" s="79"/>
      <x:c r="AJ35" s="79"/>
      <x:c r="AK35" s="79"/>
      <x:c r="AL35" s="79"/>
      <x:c r="AM35" s="79"/>
      <x:c r="AN35" s="79"/>
      <x:c r="AO35" s="79"/>
      <x:c r="AP35" s="79"/>
      <x:c r="AQ35" s="79"/>
      <x:c r="AR35" s="79"/>
      <x:c r="AS35" s="79"/>
      <x:c r="AT35" s="79"/>
      <x:c r="AU35" s="79"/>
      <x:c r="AV35" s="79"/>
      <x:c r="AW35" s="79"/>
      <x:c r="AX35" s="79"/>
      <x:c r="AY35" s="79"/>
      <x:c r="AZ35" s="79"/>
      <x:c r="BA35" s="79"/>
      <x:c r="BB35" s="79"/>
      <x:c r="BC35" s="79"/>
      <x:c r="BD35" s="79"/>
      <x:c r="BE35" s="79"/>
      <x:c r="BF35" s="79"/>
      <x:c r="BG35" s="79"/>
      <x:c r="BH35" s="79"/>
      <x:c r="BI35" s="79"/>
      <x:c r="BJ35" s="79"/>
      <x:c r="BK35" s="79"/>
      <x:c r="BL35" s="79"/>
      <x:c r="BM35" s="79"/>
      <x:c r="BN35" s="79"/>
      <x:c r="BO35" s="80"/>
      <x:c r="BP35" s="84"/>
      <x:c r="BQ35" s="84"/>
      <x:c r="BR35" s="84"/>
      <x:c r="BS35" s="84"/>
      <x:c r="BT35" s="84"/>
      <x:c r="BU35" s="84"/>
      <x:c r="BV35" s="84"/>
      <x:c r="BW35" s="84"/>
      <x:c r="BX35" s="84"/>
      <x:c r="BY35" s="84"/>
      <x:c r="BZ35" s="84"/>
      <x:c r="CA35" s="84"/>
      <x:c r="CB35" s="84"/>
    </x:row>
    <x:row r="36" ht="18" customHeight="1">
      <x:c r="A36" s="91">
        <x:v>2</x:v>
      </x:c>
      <x:c r="B36" s="218" t="s">
        <x:v>322</x:v>
      </x:c>
      <x:c r="C36" s="217" t="s">
        <x:v>323</x:v>
      </x:c>
      <x:c r="D36" s="85" t="s">
        <x:v>139</x:v>
      </x:c>
      <x:c r="E36" s="85" t="s">
        <x:v>324</x:v>
      </x:c>
      <x:c r="F36" s="86">
        <x:v>0</x:v>
      </x:c>
      <x:c r="G36" s="214" t="n">
        <x:v>46220</x:v>
      </x:c>
      <x:c r="H36" s="214" t="n">
        <x:v>46221</x:v>
      </x:c>
      <x:c r="I36" s="93" t="n">
        <x:f t="shared" si="5">IF(OR(ISBLANK(G36),ISBLANK(H36)),"",H36-G36+1)</x:f>
        <x:v>2</x:v>
      </x:c>
      <x:c r="J36" s="212"/>
      <x:c r="K36" s="212"/>
      <x:c r="L36" s="87" t="str">
        <x:f t="shared" si="7"/>
      </x:c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  <x:c r="AJ36" s="79"/>
      <x:c r="AK36" s="79"/>
      <x:c r="AL36" s="79"/>
      <x:c r="AM36" s="79"/>
      <x:c r="AN36" s="79"/>
      <x:c r="AO36" s="79"/>
      <x:c r="AP36" s="79"/>
      <x:c r="AQ36" s="79"/>
      <x:c r="AR36" s="79"/>
      <x:c r="AS36" s="79"/>
      <x:c r="AT36" s="79"/>
      <x:c r="AU36" s="79"/>
      <x:c r="AV36" s="79"/>
      <x:c r="AW36" s="79"/>
      <x:c r="AX36" s="79"/>
      <x:c r="AY36" s="79"/>
      <x:c r="AZ36" s="79"/>
      <x:c r="BA36" s="79"/>
      <x:c r="BB36" s="79"/>
      <x:c r="BC36" s="79"/>
      <x:c r="BD36" s="79"/>
      <x:c r="BE36" s="79"/>
      <x:c r="BF36" s="79"/>
      <x:c r="BG36" s="79"/>
      <x:c r="BH36" s="79"/>
      <x:c r="BI36" s="79"/>
      <x:c r="BJ36" s="79"/>
      <x:c r="BK36" s="79"/>
      <x:c r="BL36" s="79"/>
      <x:c r="BM36" s="79"/>
      <x:c r="BN36" s="79"/>
      <x:c r="BO36" s="80"/>
      <x:c r="BP36" s="84"/>
      <x:c r="BQ36" s="84"/>
      <x:c r="BR36" s="84"/>
      <x:c r="BS36" s="84"/>
      <x:c r="BT36" s="84"/>
      <x:c r="BU36" s="84"/>
      <x:c r="BV36" s="84"/>
      <x:c r="BW36" s="84"/>
      <x:c r="BX36" s="84"/>
      <x:c r="BY36" s="84"/>
      <x:c r="BZ36" s="84"/>
      <x:c r="CA36" s="84"/>
      <x:c r="CB36" s="84"/>
    </x:row>
    <x:row r="37" ht="18" customHeight="1">
      <x:c r="A37" s="92">
        <x:v>3</x:v>
      </x:c>
      <x:c r="B37" s="219" t="s">
        <x:v>325</x:v>
      </x:c>
      <x:c r="C37" s="217" t="s">
        <x:v>326</x:v>
      </x:c>
      <x:c r="D37" s="85" t="s">
        <x:v>327</x:v>
      </x:c>
      <x:c r="E37" s="85" t="s">
        <x:v>104</x:v>
      </x:c>
      <x:c r="F37" s="86">
        <x:v>0</x:v>
      </x:c>
      <x:c r="G37" s="212" t="n">
        <x:v>46220</x:v>
      </x:c>
      <x:c r="H37" s="212" t="n">
        <x:v>46221</x:v>
      </x:c>
      <x:c r="I37" s="87" t="n">
        <x:f t="shared" si="5">IF(OR(ISBLANK(G37),ISBLANK(H37)),"",H37-G37+1)</x:f>
        <x:v>2</x:v>
      </x:c>
      <x:c r="J37" s="212"/>
      <x:c r="K37" s="212"/>
      <x:c r="L37" s="87" t="str">
        <x:f t="shared" si="7"/>
      </x:c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  <x:c r="AA37" s="79"/>
      <x:c r="AB37" s="79"/>
      <x:c r="AC37" s="79"/>
      <x:c r="AD37" s="79"/>
      <x:c r="AE37" s="79"/>
      <x:c r="AF37" s="79"/>
      <x:c r="AG37" s="79"/>
      <x:c r="AH37" s="79"/>
      <x:c r="AI37" s="79"/>
      <x:c r="AJ37" s="79"/>
      <x:c r="AK37" s="79"/>
      <x:c r="AL37" s="79"/>
      <x:c r="AM37" s="79"/>
      <x:c r="AN37" s="79"/>
      <x:c r="AO37" s="79"/>
      <x:c r="AP37" s="79"/>
      <x:c r="AQ37" s="79"/>
      <x:c r="AR37" s="79"/>
      <x:c r="AS37" s="79"/>
      <x:c r="AT37" s="79"/>
      <x:c r="AU37" s="79"/>
      <x:c r="AV37" s="79"/>
      <x:c r="AW37" s="79"/>
      <x:c r="AX37" s="79"/>
      <x:c r="AY37" s="79"/>
      <x:c r="AZ37" s="79"/>
      <x:c r="BA37" s="79"/>
      <x:c r="BB37" s="79"/>
      <x:c r="BC37" s="79"/>
      <x:c r="BD37" s="79"/>
      <x:c r="BE37" s="79"/>
      <x:c r="BF37" s="79"/>
      <x:c r="BG37" s="79"/>
      <x:c r="BH37" s="79"/>
      <x:c r="BI37" s="79"/>
      <x:c r="BJ37" s="79"/>
      <x:c r="BK37" s="79"/>
      <x:c r="BL37" s="79"/>
      <x:c r="BM37" s="79"/>
      <x:c r="BN37" s="79"/>
      <x:c r="BO37" s="80"/>
      <x:c r="BP37" s="84"/>
      <x:c r="BQ37" s="84"/>
      <x:c r="BR37" s="84"/>
      <x:c r="BS37" s="84"/>
      <x:c r="BT37" s="84"/>
      <x:c r="BU37" s="84"/>
      <x:c r="BV37" s="84"/>
      <x:c r="BW37" s="84"/>
      <x:c r="BX37" s="84"/>
      <x:c r="BY37" s="84"/>
      <x:c r="BZ37" s="84"/>
      <x:c r="CA37" s="84"/>
      <x:c r="CB37" s="84"/>
    </x:row>
    <x:row r="38" ht="18" customHeight="1">
      <x:c r="A38" s="92">
        <x:v>4</x:v>
      </x:c>
      <x:c r="B38" s="219" t="s">
        <x:v>328</x:v>
      </x:c>
      <x:c r="C38" s="217" t="s">
        <x:v>329</x:v>
      </x:c>
      <x:c r="D38" s="85" t="s">
        <x:v>93</x:v>
      </x:c>
      <x:c r="E38" s="85" t="s">
        <x:v>319</x:v>
      </x:c>
      <x:c r="F38" s="86">
        <x:v>0</x:v>
      </x:c>
      <x:c r="G38" s="212" t="n">
        <x:v>46221</x:v>
      </x:c>
      <x:c r="H38" s="212" t="n">
        <x:v>46221</x:v>
      </x:c>
      <x:c r="I38" s="87" t="n">
        <x:f t="shared" si="5">IF(OR(ISBLANK(G38),ISBLANK(H38)),"",H38-G38+1)</x:f>
        <x:v>1</x:v>
      </x:c>
      <x:c r="J38" s="212"/>
      <x:c r="K38" s="212"/>
      <x:c r="L38" s="87" t="str">
        <x:f t="shared" si="7"/>
      </x:c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  <x:c r="AJ38" s="79"/>
      <x:c r="AK38" s="79"/>
      <x:c r="AL38" s="79"/>
      <x:c r="AM38" s="79"/>
      <x:c r="AN38" s="79"/>
      <x:c r="AO38" s="79"/>
      <x:c r="AP38" s="79"/>
      <x:c r="AQ38" s="79"/>
      <x:c r="AR38" s="79"/>
      <x:c r="AS38" s="79"/>
      <x:c r="AT38" s="79"/>
      <x:c r="AU38" s="79"/>
      <x:c r="AV38" s="79"/>
      <x:c r="AW38" s="79"/>
      <x:c r="AX38" s="79"/>
      <x:c r="AY38" s="79"/>
      <x:c r="AZ38" s="79"/>
      <x:c r="BA38" s="79"/>
      <x:c r="BB38" s="79"/>
      <x:c r="BC38" s="79"/>
      <x:c r="BD38" s="79"/>
      <x:c r="BE38" s="79"/>
      <x:c r="BF38" s="79"/>
      <x:c r="BG38" s="79"/>
      <x:c r="BH38" s="79"/>
      <x:c r="BI38" s="79"/>
      <x:c r="BJ38" s="79"/>
      <x:c r="BK38" s="79"/>
      <x:c r="BL38" s="79"/>
      <x:c r="BM38" s="79"/>
      <x:c r="BN38" s="79"/>
      <x:c r="BO38" s="80"/>
      <x:c r="BP38" s="84"/>
      <x:c r="BQ38" s="84"/>
      <x:c r="BR38" s="84"/>
      <x:c r="BS38" s="84"/>
      <x:c r="BT38" s="84"/>
      <x:c r="BU38" s="84"/>
      <x:c r="BV38" s="84"/>
      <x:c r="BW38" s="84"/>
      <x:c r="BX38" s="84"/>
      <x:c r="BY38" s="84"/>
      <x:c r="BZ38" s="84"/>
      <x:c r="CA38" s="84"/>
      <x:c r="CB38" s="84"/>
    </x:row>
    <x:row r="39" ht="18" customHeight="1">
      <x:c r="A39" s="92">
        <x:v>5</x:v>
      </x:c>
      <x:c r="B39" s="219" t="s">
        <x:v>330</x:v>
      </x:c>
      <x:c r="C39" s="217" t="s">
        <x:v>331</x:v>
      </x:c>
      <x:c r="D39" s="85" t="s">
        <x:v>93</x:v>
      </x:c>
      <x:c r="E39" s="85" t="s">
        <x:v>265</x:v>
      </x:c>
      <x:c r="F39" s="86">
        <x:v>0</x:v>
      </x:c>
      <x:c r="G39" s="212" t="n">
        <x:v>46221</x:v>
      </x:c>
      <x:c r="H39" s="212" t="n">
        <x:v>46221</x:v>
      </x:c>
      <x:c r="I39" s="87" t="n">
        <x:f t="shared" si="5">IF(OR(ISBLANK(G39),ISBLANK(H39)),"",H39-G39+1)</x:f>
        <x:v>1</x:v>
      </x:c>
      <x:c r="J39" s="212"/>
      <x:c r="K39" s="212"/>
      <x:c r="L39" s="87" t="str">
        <x:f t="shared" si="7"/>
      </x:c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  <x:c r="AA39" s="79"/>
      <x:c r="AB39" s="79"/>
      <x:c r="AC39" s="79"/>
      <x:c r="AD39" s="79"/>
      <x:c r="AE39" s="79"/>
      <x:c r="AF39" s="79"/>
      <x:c r="AG39" s="79"/>
      <x:c r="AH39" s="79"/>
      <x:c r="AI39" s="79"/>
      <x:c r="AJ39" s="79"/>
      <x:c r="AK39" s="79"/>
      <x:c r="AL39" s="79"/>
      <x:c r="AM39" s="79"/>
      <x:c r="AN39" s="79"/>
      <x:c r="AO39" s="79"/>
      <x:c r="AP39" s="79"/>
      <x:c r="AQ39" s="79"/>
      <x:c r="AR39" s="79"/>
      <x:c r="AS39" s="79"/>
      <x:c r="AT39" s="79"/>
      <x:c r="AU39" s="79"/>
      <x:c r="AV39" s="79"/>
      <x:c r="AW39" s="79"/>
      <x:c r="AX39" s="79"/>
      <x:c r="AY39" s="79"/>
      <x:c r="AZ39" s="79"/>
      <x:c r="BA39" s="79"/>
      <x:c r="BB39" s="79"/>
      <x:c r="BC39" s="79"/>
      <x:c r="BD39" s="79"/>
      <x:c r="BE39" s="79"/>
      <x:c r="BF39" s="79"/>
      <x:c r="BG39" s="79"/>
      <x:c r="BH39" s="79"/>
      <x:c r="BI39" s="79"/>
      <x:c r="BJ39" s="79"/>
      <x:c r="BK39" s="79"/>
      <x:c r="BL39" s="79"/>
      <x:c r="BM39" s="79"/>
      <x:c r="BN39" s="79"/>
      <x:c r="BO39" s="80"/>
      <x:c r="BP39" s="84"/>
      <x:c r="BQ39" s="84"/>
      <x:c r="BR39" s="84"/>
      <x:c r="BS39" s="84"/>
      <x:c r="BT39" s="84"/>
      <x:c r="BU39" s="84"/>
      <x:c r="BV39" s="84"/>
      <x:c r="BW39" s="84"/>
      <x:c r="BX39" s="84"/>
      <x:c r="BY39" s="84"/>
      <x:c r="BZ39" s="84"/>
      <x:c r="CA39" s="84"/>
      <x:c r="CB39" s="84"/>
    </x:row>
    <x:row r="40" ht="18" customHeight="1">
      <x:c r="BP40" s="84"/>
      <x:c r="BQ40" s="84"/>
      <x:c r="BR40" s="84"/>
      <x:c r="BS40" s="84"/>
      <x:c r="BT40" s="84"/>
      <x:c r="BU40" s="84"/>
      <x:c r="BV40" s="84"/>
      <x:c r="BW40" s="84"/>
      <x:c r="BX40" s="84"/>
      <x:c r="BY40" s="84"/>
      <x:c r="BZ40" s="84"/>
      <x:c r="CA40" s="84"/>
      <x:c r="CB40" s="84"/>
    </x:row>
    <x:row r="41" ht="18" customHeight="1">
      <x:c r="BP41" s="84"/>
      <x:c r="BQ41" s="84"/>
      <x:c r="BR41" s="84"/>
      <x:c r="BS41" s="84"/>
      <x:c r="BT41" s="84"/>
      <x:c r="BU41" s="84"/>
      <x:c r="BV41" s="84"/>
      <x:c r="BW41" s="84"/>
      <x:c r="BX41" s="84"/>
      <x:c r="BY41" s="84"/>
      <x:c r="BZ41" s="84"/>
      <x:c r="CA41" s="84"/>
      <x:c r="CB41" s="84"/>
    </x:row>
    <x:row r="42" ht="18" customHeight="1">
      <x:c r="BP42" s="84"/>
      <x:c r="BQ42" s="84"/>
      <x:c r="BR42" s="84"/>
      <x:c r="BS42" s="84"/>
      <x:c r="BT42" s="84"/>
      <x:c r="BU42" s="84"/>
      <x:c r="BV42" s="84"/>
      <x:c r="BW42" s="84"/>
      <x:c r="BX42" s="84"/>
      <x:c r="BY42" s="84"/>
      <x:c r="BZ42" s="84"/>
      <x:c r="CA42" s="84"/>
      <x:c r="CB42" s="84"/>
    </x:row>
    <x:row r="43" ht="18" customHeight="1">
      <x:c r="BP43" s="84"/>
      <x:c r="BQ43" s="84"/>
      <x:c r="BR43" s="84"/>
      <x:c r="BS43" s="84"/>
      <x:c r="BT43" s="84"/>
      <x:c r="BU43" s="84"/>
      <x:c r="BV43" s="84"/>
      <x:c r="BW43" s="84"/>
      <x:c r="BX43" s="84"/>
      <x:c r="BY43" s="84"/>
      <x:c r="BZ43" s="84"/>
      <x:c r="CA43" s="84"/>
      <x:c r="CB43" s="84"/>
    </x:row>
    <x:row r="44" ht="18" customHeight="1">
      <x:c r="BP44" s="84"/>
      <x:c r="BQ44" s="84"/>
      <x:c r="BR44" s="84"/>
      <x:c r="BS44" s="84"/>
      <x:c r="BT44" s="84"/>
      <x:c r="BU44" s="84"/>
      <x:c r="BV44" s="84"/>
      <x:c r="BW44" s="84"/>
      <x:c r="BX44" s="84"/>
      <x:c r="BY44" s="84"/>
      <x:c r="BZ44" s="84"/>
      <x:c r="CA44" s="84"/>
      <x:c r="CB44" s="84"/>
    </x:row>
    <x:row r="45" ht="18" customHeight="1">
      <x:c r="BP45" s="84"/>
      <x:c r="BQ45" s="84"/>
      <x:c r="BR45" s="84"/>
      <x:c r="BS45" s="84"/>
      <x:c r="BT45" s="84"/>
      <x:c r="BU45" s="84"/>
      <x:c r="BV45" s="84"/>
      <x:c r="BW45" s="84"/>
      <x:c r="BX45" s="84"/>
      <x:c r="BY45" s="84"/>
      <x:c r="BZ45" s="84"/>
      <x:c r="CA45" s="84"/>
      <x:c r="CB45" s="84"/>
    </x:row>
    <x:row r="46" ht="18" customHeight="1">
      <x:c r="BP46" s="84"/>
      <x:c r="BQ46" s="84"/>
      <x:c r="BR46" s="84"/>
      <x:c r="BS46" s="84"/>
      <x:c r="BT46" s="84"/>
      <x:c r="BU46" s="84"/>
      <x:c r="BV46" s="84"/>
      <x:c r="BW46" s="84"/>
      <x:c r="BX46" s="84"/>
      <x:c r="BY46" s="84"/>
      <x:c r="BZ46" s="84"/>
      <x:c r="CA46" s="84"/>
      <x:c r="CB46" s="84"/>
    </x:row>
    <x:row r="47" ht="18" customHeight="1">
      <x:c r="BP47" s="84"/>
      <x:c r="BQ47" s="84"/>
      <x:c r="BR47" s="84"/>
      <x:c r="BS47" s="84"/>
      <x:c r="BT47" s="84"/>
      <x:c r="BU47" s="84"/>
      <x:c r="BV47" s="84"/>
      <x:c r="BW47" s="84"/>
      <x:c r="BX47" s="84"/>
      <x:c r="BY47" s="84"/>
      <x:c r="BZ47" s="84"/>
      <x:c r="CA47" s="84"/>
      <x:c r="CB47" s="84"/>
    </x:row>
    <x:row r="48" ht="18" customHeight="1">
      <x:c r="BP48" s="84"/>
      <x:c r="BQ48" s="84"/>
      <x:c r="BR48" s="84"/>
      <x:c r="BS48" s="84"/>
      <x:c r="BT48" s="84"/>
      <x:c r="BU48" s="84"/>
      <x:c r="BV48" s="84"/>
      <x:c r="BW48" s="84"/>
      <x:c r="BX48" s="84"/>
      <x:c r="BY48" s="84"/>
      <x:c r="BZ48" s="84"/>
      <x:c r="CA48" s="84"/>
      <x:c r="CB48" s="84"/>
    </x:row>
    <x:row r="49" ht="18" customHeight="1">
      <x:c r="BP49" s="84"/>
      <x:c r="BQ49" s="84"/>
      <x:c r="BR49" s="84"/>
      <x:c r="BS49" s="84"/>
      <x:c r="BT49" s="84"/>
      <x:c r="BU49" s="84"/>
      <x:c r="BV49" s="84"/>
      <x:c r="BW49" s="84"/>
      <x:c r="BX49" s="84"/>
      <x:c r="BY49" s="84"/>
      <x:c r="BZ49" s="84"/>
      <x:c r="CA49" s="84"/>
      <x:c r="CB49" s="84"/>
    </x:row>
    <x:row r="50" ht="18" customHeight="1">
      <x:c r="BP50" s="84"/>
      <x:c r="BQ50" s="84"/>
      <x:c r="BR50" s="84"/>
      <x:c r="BS50" s="84"/>
      <x:c r="BT50" s="84"/>
      <x:c r="BU50" s="84"/>
      <x:c r="BV50" s="84"/>
      <x:c r="BW50" s="84"/>
      <x:c r="BX50" s="84"/>
      <x:c r="BY50" s="84"/>
      <x:c r="BZ50" s="84"/>
      <x:c r="CA50" s="84"/>
      <x:c r="CB50" s="84"/>
    </x:row>
    <x:row r="51" ht="18" customHeight="1">
      <x:c r="BP51" s="84"/>
      <x:c r="BQ51" s="84"/>
      <x:c r="BR51" s="84"/>
      <x:c r="BS51" s="84"/>
      <x:c r="BT51" s="84"/>
      <x:c r="BU51" s="84"/>
      <x:c r="BV51" s="84"/>
      <x:c r="BW51" s="84"/>
      <x:c r="BX51" s="84"/>
      <x:c r="BY51" s="84"/>
      <x:c r="BZ51" s="84"/>
      <x:c r="CA51" s="84"/>
      <x:c r="CB51" s="84"/>
    </x:row>
    <x:row r="52" ht="18" customHeight="1">
      <x:c r="BP52" s="84"/>
      <x:c r="BQ52" s="84"/>
      <x:c r="BR52" s="84"/>
      <x:c r="BS52" s="84"/>
      <x:c r="BT52" s="84"/>
      <x:c r="BU52" s="84"/>
      <x:c r="BV52" s="84"/>
      <x:c r="BW52" s="84"/>
      <x:c r="BX52" s="84"/>
      <x:c r="BY52" s="84"/>
      <x:c r="BZ52" s="84"/>
      <x:c r="CA52" s="84"/>
      <x:c r="CB52" s="84"/>
    </x:row>
    <x:row r="53" ht="18" customHeight="1">
      <x:c r="BP53" s="84"/>
      <x:c r="BQ53" s="84"/>
      <x:c r="BR53" s="84"/>
      <x:c r="BS53" s="84"/>
      <x:c r="BT53" s="84"/>
      <x:c r="BU53" s="84"/>
      <x:c r="BV53" s="84"/>
      <x:c r="BW53" s="84"/>
      <x:c r="BX53" s="84"/>
      <x:c r="BY53" s="84"/>
      <x:c r="BZ53" s="84"/>
      <x:c r="CA53" s="84"/>
      <x:c r="CB53" s="84"/>
    </x:row>
    <x:row r="54" ht="18" customHeight="1">
      <x:c r="BP54" s="84"/>
      <x:c r="BQ54" s="84"/>
      <x:c r="BR54" s="84"/>
      <x:c r="BS54" s="84"/>
      <x:c r="BT54" s="84"/>
      <x:c r="BU54" s="84"/>
      <x:c r="BV54" s="84"/>
      <x:c r="BW54" s="84"/>
      <x:c r="BX54" s="84"/>
      <x:c r="BY54" s="84"/>
      <x:c r="BZ54" s="84"/>
      <x:c r="CA54" s="84"/>
      <x:c r="CB54" s="84"/>
    </x:row>
    <x:row r="55" ht="18" customHeight="1">
      <x:c r="BP55" s="84"/>
      <x:c r="BQ55" s="84"/>
      <x:c r="BR55" s="84"/>
      <x:c r="BS55" s="84"/>
      <x:c r="BT55" s="84"/>
      <x:c r="BU55" s="84"/>
      <x:c r="BV55" s="84"/>
      <x:c r="BW55" s="84"/>
      <x:c r="BX55" s="84"/>
      <x:c r="BY55" s="84"/>
      <x:c r="BZ55" s="84"/>
      <x:c r="CA55" s="84"/>
      <x:c r="CB55" s="84"/>
    </x:row>
    <x:row r="56" ht="20" customHeight="1">
      <x:c r="B56" s="254"/>
      <x:c r="C56" s="254"/>
      <x:c r="BP56" s="84"/>
      <x:c r="BQ56" s="84"/>
      <x:c r="BR56" s="84"/>
      <x:c r="BS56" s="84"/>
      <x:c r="BT56" s="84"/>
      <x:c r="BU56" s="84"/>
      <x:c r="BV56" s="84"/>
      <x:c r="BW56" s="84"/>
      <x:c r="BX56" s="84"/>
      <x:c r="BY56" s="84"/>
      <x:c r="BZ56" s="84"/>
      <x:c r="CA56" s="84"/>
      <x:c r="CB56" s="84"/>
    </x:row>
    <x:row r="57" ht="18" customHeight="1">
      <x:c r="BP57" s="84"/>
      <x:c r="BQ57" s="84"/>
      <x:c r="BR57" s="84"/>
      <x:c r="BS57" s="84"/>
      <x:c r="BT57" s="84"/>
      <x:c r="BU57" s="84"/>
      <x:c r="BV57" s="84"/>
      <x:c r="BW57" s="84"/>
      <x:c r="BX57" s="84"/>
      <x:c r="BY57" s="84"/>
      <x:c r="BZ57" s="84"/>
      <x:c r="CA57" s="84"/>
      <x:c r="CB57" s="84"/>
    </x:row>
    <x:row r="58" ht="18" customHeight="1">
      <x:c r="BP58" s="84"/>
      <x:c r="BQ58" s="84"/>
      <x:c r="BR58" s="84"/>
      <x:c r="BS58" s="84"/>
      <x:c r="BT58" s="84"/>
      <x:c r="BU58" s="84"/>
      <x:c r="BV58" s="84"/>
      <x:c r="BW58" s="84"/>
      <x:c r="BX58" s="84"/>
      <x:c r="BY58" s="84"/>
      <x:c r="BZ58" s="84"/>
      <x:c r="CA58" s="84"/>
      <x:c r="CB58" s="84"/>
    </x:row>
    <x:row r="59" ht="18" customHeight="1">
      <x:c r="BP59" s="84"/>
      <x:c r="BQ59" s="84"/>
      <x:c r="BR59" s="84"/>
      <x:c r="BS59" s="84"/>
      <x:c r="BT59" s="84"/>
      <x:c r="BU59" s="84"/>
      <x:c r="BV59" s="84"/>
      <x:c r="BW59" s="84"/>
      <x:c r="BX59" s="84"/>
      <x:c r="BY59" s="84"/>
      <x:c r="BZ59" s="84"/>
      <x:c r="CA59" s="84"/>
      <x:c r="CB59" s="84"/>
    </x:row>
    <x:row r="60" ht="18" customHeight="1">
      <x:c r="BP60" s="84"/>
      <x:c r="BQ60" s="84"/>
      <x:c r="BR60" s="84"/>
      <x:c r="BS60" s="84"/>
      <x:c r="BT60" s="84"/>
      <x:c r="BU60" s="84"/>
      <x:c r="BV60" s="84"/>
      <x:c r="BW60" s="84"/>
      <x:c r="BX60" s="84"/>
      <x:c r="BY60" s="84"/>
      <x:c r="BZ60" s="84"/>
      <x:c r="CA60" s="84"/>
      <x:c r="CB60" s="84"/>
    </x:row>
    <x:row r="61" ht="18" customHeight="1">
      <x:c r="BP61" s="84"/>
      <x:c r="BQ61" s="84"/>
      <x:c r="BR61" s="84"/>
      <x:c r="BS61" s="84"/>
      <x:c r="BT61" s="84"/>
      <x:c r="BU61" s="84"/>
      <x:c r="BV61" s="84"/>
      <x:c r="BW61" s="84"/>
      <x:c r="BX61" s="84"/>
      <x:c r="BY61" s="84"/>
      <x:c r="BZ61" s="84"/>
      <x:c r="CA61" s="84"/>
      <x:c r="CB61" s="84"/>
    </x:row>
    <x:row r="62" ht="18" customHeight="1">
      <x:c r="BP62" s="84"/>
      <x:c r="BQ62" s="84"/>
      <x:c r="BR62" s="84"/>
      <x:c r="BS62" s="84"/>
      <x:c r="BT62" s="84"/>
      <x:c r="BU62" s="84"/>
      <x:c r="BV62" s="84"/>
      <x:c r="BW62" s="84"/>
      <x:c r="BX62" s="84"/>
      <x:c r="BY62" s="84"/>
      <x:c r="BZ62" s="84"/>
      <x:c r="CA62" s="84"/>
      <x:c r="CB62" s="84"/>
    </x:row>
    <x:row r="63" ht="18" customHeight="1">
      <x:c r="BP63" s="84"/>
      <x:c r="BQ63" s="84"/>
      <x:c r="BR63" s="84"/>
      <x:c r="BS63" s="84"/>
      <x:c r="BT63" s="84"/>
      <x:c r="BU63" s="84"/>
      <x:c r="BV63" s="84"/>
      <x:c r="BW63" s="84"/>
      <x:c r="BX63" s="84"/>
      <x:c r="BY63" s="84"/>
      <x:c r="BZ63" s="84"/>
      <x:c r="CA63" s="84"/>
      <x:c r="CB63" s="84"/>
    </x:row>
    <x:row r="64" ht="18" customHeight="1">
      <x:c r="BP64" s="84"/>
      <x:c r="BQ64" s="84"/>
      <x:c r="BR64" s="84"/>
      <x:c r="BS64" s="84"/>
      <x:c r="BT64" s="84"/>
      <x:c r="BU64" s="84"/>
      <x:c r="BV64" s="84"/>
      <x:c r="BW64" s="84"/>
      <x:c r="BX64" s="84"/>
      <x:c r="BY64" s="84"/>
      <x:c r="BZ64" s="84"/>
      <x:c r="CA64" s="84"/>
      <x:c r="CB64" s="84"/>
    </x:row>
    <x:row r="65" ht="18" customHeight="1">
      <x:c r="BP65" s="84"/>
      <x:c r="BQ65" s="84"/>
      <x:c r="BR65" s="84"/>
      <x:c r="BS65" s="84"/>
      <x:c r="BT65" s="84"/>
      <x:c r="BU65" s="84"/>
      <x:c r="BV65" s="84"/>
      <x:c r="BW65" s="84"/>
      <x:c r="BX65" s="84"/>
      <x:c r="BY65" s="84"/>
      <x:c r="BZ65" s="84"/>
      <x:c r="CA65" s="84"/>
      <x:c r="CB65" s="84"/>
    </x:row>
    <x:row r="66" ht="18" customHeight="1">
      <x:c r="BP66" s="84"/>
      <x:c r="BQ66" s="84"/>
      <x:c r="BR66" s="84"/>
      <x:c r="BS66" s="84"/>
      <x:c r="BT66" s="84"/>
      <x:c r="BU66" s="84"/>
      <x:c r="BV66" s="84"/>
      <x:c r="BW66" s="84"/>
      <x:c r="BX66" s="84"/>
      <x:c r="BY66" s="84"/>
      <x:c r="BZ66" s="84"/>
      <x:c r="CA66" s="84"/>
      <x:c r="CB66" s="84"/>
    </x:row>
    <x:row r="67" ht="18" customHeight="1">
      <x:c r="BP67" s="84"/>
      <x:c r="BQ67" s="84"/>
      <x:c r="BR67" s="84"/>
      <x:c r="BS67" s="84"/>
      <x:c r="BT67" s="84"/>
      <x:c r="BU67" s="84"/>
      <x:c r="BV67" s="84"/>
      <x:c r="BW67" s="84"/>
      <x:c r="BX67" s="84"/>
      <x:c r="BY67" s="84"/>
      <x:c r="BZ67" s="84"/>
      <x:c r="CA67" s="84"/>
      <x:c r="CB67" s="84"/>
    </x:row>
    <x:row r="68" ht="18" customHeight="1">
      <x:c r="BP68" s="84"/>
      <x:c r="BQ68" s="84"/>
      <x:c r="BR68" s="84"/>
      <x:c r="BS68" s="84"/>
      <x:c r="BT68" s="84"/>
      <x:c r="BU68" s="84"/>
      <x:c r="BV68" s="84"/>
      <x:c r="BW68" s="84"/>
      <x:c r="BX68" s="84"/>
      <x:c r="BY68" s="84"/>
      <x:c r="BZ68" s="84"/>
      <x:c r="CA68" s="84"/>
      <x:c r="CB68" s="84"/>
    </x:row>
    <x:row r="69" ht="20" customHeight="1">
      <x:c r="BP69" s="84"/>
      <x:c r="BQ69" s="84"/>
      <x:c r="BR69" s="84"/>
      <x:c r="BS69" s="84"/>
      <x:c r="BT69" s="84"/>
      <x:c r="BU69" s="84"/>
      <x:c r="BV69" s="84"/>
      <x:c r="BW69" s="84"/>
      <x:c r="BX69" s="84"/>
      <x:c r="BY69" s="84"/>
      <x:c r="BZ69" s="84"/>
      <x:c r="CA69" s="84"/>
      <x:c r="CB69" s="84"/>
    </x:row>
    <x:row r="70" ht="18" customHeight="1">
      <x:c r="BP70" s="84"/>
      <x:c r="BQ70" s="84"/>
      <x:c r="BR70" s="84"/>
      <x:c r="BS70" s="84"/>
      <x:c r="BT70" s="84"/>
      <x:c r="BU70" s="84"/>
      <x:c r="BV70" s="84"/>
      <x:c r="BW70" s="84"/>
      <x:c r="BX70" s="84"/>
      <x:c r="BY70" s="84"/>
      <x:c r="BZ70" s="84"/>
      <x:c r="CA70" s="84"/>
      <x:c r="CB70" s="84"/>
    </x:row>
    <x:row r="71" ht="18" customHeight="1">
      <x:c r="BP71" s="84"/>
      <x:c r="BQ71" s="84"/>
      <x:c r="BR71" s="84"/>
      <x:c r="BS71" s="84"/>
      <x:c r="BT71" s="84"/>
      <x:c r="BU71" s="84"/>
      <x:c r="BV71" s="84"/>
      <x:c r="BW71" s="84"/>
      <x:c r="BX71" s="84"/>
      <x:c r="BY71" s="84"/>
      <x:c r="BZ71" s="84"/>
      <x:c r="CA71" s="84"/>
      <x:c r="CB71" s="84"/>
    </x:row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B56:C56"/>
    <x:mergeCell ref="G3:H3"/>
    <x:mergeCell ref="A6:I6"/>
    <x:mergeCell ref="B9:C9"/>
    <x:mergeCell ref="B15:C15"/>
    <x:mergeCell ref="B21:C21"/>
  </x:mergeCells>
  <x:conditionalFormatting sqref="M10:BB14">
    <x:cfRule type="expression" dxfId="30" priority="2">
      <x:formula>AND($H10&gt;=M$5,$G10&lt;N$5)</x:formula>
    </x:cfRule>
    <x:cfRule type="expression" dxfId="29" priority="3" stopIfTrue="1">
      <x:formula>AND($K10&gt;=M$5,$J10&lt;N$5)</x:formula>
    </x:cfRule>
    <x:cfRule type="expression" dxfId="28" priority="1" stopIfTrue="1">
      <x:formula>NOT(AND(MAX($K10,$H10)&gt;=M$5,MIN($J10,$G10)&lt;N$5))</x:formula>
    </x:cfRule>
  </x:conditionalFormatting>
  <x:conditionalFormatting sqref="M16:BB20 M21:BN71">
    <x:cfRule type="expression" dxfId="27" priority="4">
      <x:formula>AND(TODAY()&gt;=M$5,TODAY()&lt;N$5)</x:formula>
    </x:cfRule>
  </x:conditionalFormatting>
  <x:conditionalFormatting sqref="M6:BN9 BO7:BO7 BC14:BN14">
    <x:cfRule type="expression" dxfId="26" priority="5">
      <x:formula>AND(TODAY()&gt;=M$5,TODAY()&lt;N$5)</x:formula>
    </x:cfRule>
  </x:conditionalFormatting>
  <x:conditionalFormatting sqref="M8:BN9 BC10:BN12 BC14:BN14 M15:BN15 BC16:BN19 M16:BB47 BC20:CB20 BC21:BN47 M54:BN71">
    <x:cfRule type="expression" dxfId="25" priority="6">
      <x:formula>AND($H8&gt;=M$5,$G8&lt;N$5)</x:formula>
    </x:cfRule>
    <x:cfRule type="expression" dxfId="24" priority="7" stopIfTrue="1">
      <x:formula>AND($K8&gt;=M$5,$J8&lt;N$5)</x:formula>
    </x:cfRule>
    <x:cfRule type="expression" dxfId="23" priority="8" stopIfTrue="1">
      <x:formula>NOT(AND(MAX($K8,$H8)&gt;=M$5,MIN($J8,$G8)&lt;N$5))</x:formula>
    </x:cfRule>
  </x:conditionalFormatting>
  <x:conditionalFormatting sqref="M15:BN15">
    <x:cfRule type="expression" dxfId="22" priority="9">
      <x:formula>AND(TODAY()&gt;=M$5,TODAY()&lt;N$5)</x:formula>
    </x:cfRule>
  </x:conditionalFormatting>
  <x:conditionalFormatting sqref="M48:BN53">
    <x:cfRule type="expression" dxfId="21" priority="10" stopIfTrue="1">
      <x:formula>NOT(AND(MAX($K48,#REF!)&gt;=M$5,MIN($J48,#REF!)&lt;N$5))</x:formula>
    </x:cfRule>
    <x:cfRule type="expression" dxfId="20" priority="11">
      <x:formula>AND(#REF!&gt;=M$5,#REF!&lt;N$5)</x:formula>
    </x:cfRule>
    <x:cfRule type="expression" dxfId="19" priority="12" stopIfTrue="1">
      <x:formula>AND($K48&gt;=M$5,$J48&lt;N$5)</x:formula>
    </x:cfRule>
  </x:conditionalFormatting>
  <x:conditionalFormatting sqref="BC10:BN12 M10:BB14">
    <x:cfRule type="expression" dxfId="18" priority="22">
      <x:formula>AND(TODAY()&gt;=M$5,TODAY()&lt;N$5)</x:formula>
    </x:cfRule>
  </x:conditionalFormatting>
  <x:conditionalFormatting sqref="BC16:BN19">
    <x:cfRule type="expression" dxfId="17" priority="23">
      <x:formula>AND(TODAY()&gt;=BC$5,TODAY()&lt;BD$5)</x:formula>
    </x:cfRule>
  </x:conditionalFormatting>
  <x:conditionalFormatting sqref="BC13:CB13">
    <x:cfRule type="expression" dxfId="16" priority="27" stopIfTrue="1">
      <x:formula>AND($K13&gt;=BC$5,$J13&lt;BD$5)</x:formula>
    </x:cfRule>
    <x:cfRule type="expression" dxfId="15" priority="26">
      <x:formula>AND($H13&gt;=BC$5,$G13&lt;BD$5)</x:formula>
    </x:cfRule>
    <x:cfRule type="expression" dxfId="14" priority="25" stopIfTrue="1">
      <x:formula>NOT(AND(MAX($K13,$H13)&gt;=BC$5,MIN($J13,$G13)&lt;BD$5))</x:formula>
    </x:cfRule>
    <x:cfRule type="expression" dxfId="13" priority="24">
      <x:formula>AND(TODAY()&gt;=BC$5,TODAY()&lt;BD$5)</x:formula>
    </x:cfRule>
  </x:conditionalFormatting>
  <x:conditionalFormatting sqref="BC20:CB20">
    <x:cfRule type="expression" dxfId="12" priority="28">
      <x:formula>AND(TODAY()&gt;=BC$5,TODAY()&lt;BD$5)</x:formula>
    </x:cfRule>
  </x:conditionalFormatting>
  <x:dataValidations count="1">
    <x:dataValidation type="list" allowBlank="1" showErrorMessage="1" sqref="G4">
      <x:formula1>"Daily,Weekly,Monthly,Quarterly"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2.6640625" defaultRowHeight="14"/>
  <x:cols>
    <x:col min="1" max="1" width="5.5" customWidth="1"/>
    <x:col min="2" max="2" width="17.6640625" customWidth="1"/>
    <x:col min="3" max="3" width="13.83203125" customWidth="1"/>
    <x:col min="4" max="4" width="14.1640625" customWidth="1"/>
    <x:col min="5" max="5" width="33" customWidth="1"/>
    <x:col min="6" max="6" width="19.1640625" customWidth="1"/>
    <x:col min="7" max="7" width="26.83203125" customWidth="1"/>
    <x:col min="8" max="8" width="19.33203125" customWidth="1"/>
    <x:col min="9" max="26" width="9" customWidth="1"/>
  </x:cols>
  <x:sheetData>
    <x:row r="1" ht="21" customHeight="1">
      <x:c r="A1" s="290" t="s">
        <x:v>332</x:v>
      </x:c>
      <x:c r="B1" s="254"/>
      <x:c r="C1" s="254"/>
      <x:c r="D1" s="254"/>
      <x:c r="E1" s="254"/>
      <x:c r="F1" s="254"/>
      <x:c r="G1" s="254"/>
      <x:c r="H1" s="94"/>
      <x:c r="I1" s="94"/>
      <x:c r="J1" s="94"/>
      <x:c r="K1" s="94"/>
      <x:c r="L1" s="94"/>
      <x:c r="M1" s="94"/>
      <x:c r="N1" s="94"/>
      <x:c r="O1" s="94"/>
      <x:c r="P1" s="94"/>
      <x:c r="Q1" s="94"/>
      <x:c r="R1" s="94"/>
      <x:c r="S1" s="94"/>
      <x:c r="T1" s="94"/>
      <x:c r="U1" s="94"/>
      <x:c r="V1" s="94"/>
      <x:c r="W1" s="94"/>
      <x:c r="X1" s="94"/>
      <x:c r="Y1" s="94"/>
      <x:c r="Z1" s="94"/>
    </x:row>
    <x:row r="2" ht="21" customHeight="1">
      <x:c r="A2" s="95" t="s">
        <x:v>146</x:v>
      </x:c>
      <x:c r="B2" s="95" t="s">
        <x:v>333</x:v>
      </x:c>
      <x:c r="C2" s="95" t="s">
        <x:v>334</x:v>
      </x:c>
      <x:c r="D2" s="95" t="s">
        <x:v>335</x:v>
      </x:c>
      <x:c r="E2" s="95" t="s">
        <x:v>336</x:v>
      </x:c>
      <x:c r="F2" s="95" t="s">
        <x:v>337</x:v>
      </x:c>
      <x:c r="G2" s="95" t="s">
        <x:v>338</x:v>
      </x:c>
      <x:c r="H2" s="95" t="s">
        <x:v>148</x:v>
      </x:c>
      <x:c r="I2" s="94"/>
      <x:c r="J2" s="94"/>
      <x:c r="K2" s="94"/>
      <x:c r="L2" s="94"/>
      <x:c r="M2" s="94"/>
      <x:c r="N2" s="94"/>
      <x:c r="O2" s="94"/>
      <x:c r="P2" s="94"/>
      <x:c r="Q2" s="94"/>
      <x:c r="R2" s="94"/>
      <x:c r="S2" s="94"/>
      <x:c r="T2" s="94"/>
      <x:c r="U2" s="94"/>
      <x:c r="V2" s="94"/>
      <x:c r="W2" s="94"/>
      <x:c r="X2" s="94"/>
      <x:c r="Y2" s="94"/>
      <x:c r="Z2" s="94"/>
    </x:row>
    <x:row r="3" ht="21" customHeight="1">
      <x:c r="A3" s="291" t="s">
        <x:v>339</x:v>
      </x:c>
      <x:c r="B3" s="267"/>
      <x:c r="C3" s="267"/>
      <x:c r="D3" s="267"/>
      <x:c r="E3" s="267"/>
      <x:c r="F3" s="267"/>
      <x:c r="G3" s="267"/>
      <x:c r="H3" s="292"/>
      <x:c r="I3" s="94"/>
      <x:c r="J3" s="94"/>
      <x:c r="K3" s="94"/>
      <x:c r="L3" s="94"/>
      <x:c r="M3" s="94"/>
      <x:c r="N3" s="94"/>
      <x:c r="O3" s="94"/>
      <x:c r="P3" s="94"/>
      <x:c r="Q3" s="94"/>
      <x:c r="R3" s="94"/>
      <x:c r="S3" s="94"/>
      <x:c r="T3" s="94"/>
      <x:c r="U3" s="94"/>
      <x:c r="V3" s="94"/>
      <x:c r="W3" s="94"/>
      <x:c r="X3" s="94"/>
      <x:c r="Y3" s="94"/>
      <x:c r="Z3" s="94"/>
    </x:row>
    <x:row r="4" ht="21" customHeight="1">
      <x:c r="A4" s="9">
        <x:v>1</x:v>
      </x:c>
      <x:c r="B4" s="9" t="s">
        <x:v>48</x:v>
      </x:c>
      <x:c r="C4" s="9" t="s">
        <x:v>340</x:v>
      </x:c>
      <x:c r="D4" s="9" t="s">
        <x:v>341</x:v>
      </x:c>
      <x:c r="E4" s="9" t="s">
        <x:v>342</x:v>
      </x:c>
      <x:c r="F4" s="96"/>
      <x:c r="G4" s="97"/>
      <x:c r="H4" s="9" t="s">
        <x:v>343</x:v>
      </x:c>
      <x:c r="I4" s="94"/>
      <x:c r="J4" s="94"/>
      <x:c r="K4" s="94"/>
      <x:c r="L4" s="94"/>
      <x:c r="M4" s="94"/>
      <x:c r="N4" s="94"/>
      <x:c r="O4" s="94"/>
      <x:c r="P4" s="94"/>
      <x:c r="Q4" s="94"/>
      <x:c r="R4" s="94"/>
      <x:c r="S4" s="94"/>
      <x:c r="T4" s="94"/>
      <x:c r="U4" s="94"/>
      <x:c r="V4" s="94"/>
      <x:c r="W4" s="94"/>
      <x:c r="X4" s="94"/>
      <x:c r="Y4" s="94"/>
      <x:c r="Z4" s="94"/>
    </x:row>
    <x:row r="5" ht="21" customHeight="1">
      <x:c r="A5" s="9">
        <x:v>2</x:v>
      </x:c>
      <x:c r="B5" s="9" t="s">
        <x:v>344</x:v>
      </x:c>
      <x:c r="C5" s="9" t="s">
        <x:v>340</x:v>
      </x:c>
      <x:c r="D5" s="9" t="s">
        <x:v>345</x:v>
      </x:c>
      <x:c r="E5" s="9" t="s">
        <x:v>346</x:v>
      </x:c>
      <x:c r="F5" s="96"/>
      <x:c r="G5" s="97"/>
      <x:c r="H5" s="9" t="s">
        <x:v>347</x:v>
      </x:c>
      <x:c r="I5" s="94"/>
      <x:c r="J5" s="94"/>
      <x:c r="K5" s="94"/>
      <x:c r="L5" s="94"/>
      <x:c r="M5" s="94"/>
      <x:c r="N5" s="94"/>
      <x:c r="O5" s="94"/>
      <x:c r="P5" s="94"/>
      <x:c r="Q5" s="94"/>
      <x:c r="R5" s="94"/>
      <x:c r="S5" s="94"/>
      <x:c r="T5" s="94"/>
      <x:c r="U5" s="94"/>
      <x:c r="V5" s="94"/>
      <x:c r="W5" s="94"/>
      <x:c r="X5" s="94"/>
      <x:c r="Y5" s="94"/>
      <x:c r="Z5" s="94"/>
    </x:row>
    <x:row r="6" ht="21" customHeight="1">
      <x:c r="A6" s="9">
        <x:v>3</x:v>
      </x:c>
      <x:c r="B6" s="9" t="s">
        <x:v>344</x:v>
      </x:c>
      <x:c r="C6" s="9" t="s">
        <x:v>340</x:v>
      </x:c>
      <x:c r="D6" s="9" t="s">
        <x:v>348</x:v>
      </x:c>
      <x:c r="E6" s="9" t="s">
        <x:v>349</x:v>
      </x:c>
      <x:c r="F6" s="96"/>
      <x:c r="G6" s="9"/>
      <x:c r="H6" s="9" t="s">
        <x:v>347</x:v>
      </x:c>
      <x:c r="I6" s="94"/>
      <x:c r="J6" s="94"/>
      <x:c r="K6" s="94"/>
      <x:c r="L6" s="94"/>
      <x:c r="M6" s="94"/>
      <x:c r="N6" s="94"/>
      <x:c r="O6" s="94"/>
      <x:c r="P6" s="94"/>
      <x:c r="Q6" s="94"/>
      <x:c r="R6" s="94"/>
      <x:c r="S6" s="94"/>
      <x:c r="T6" s="94"/>
      <x:c r="U6" s="94"/>
      <x:c r="V6" s="94"/>
      <x:c r="W6" s="94"/>
      <x:c r="X6" s="94"/>
      <x:c r="Y6" s="94"/>
      <x:c r="Z6" s="94"/>
    </x:row>
    <x:row r="7" ht="21" customHeight="1">
      <x:c r="A7" s="9">
        <x:v>4</x:v>
      </x:c>
      <x:c r="B7" s="9" t="s">
        <x:v>344</x:v>
      </x:c>
      <x:c r="C7" s="9" t="s">
        <x:v>340</x:v>
      </x:c>
      <x:c r="D7" s="9" t="s">
        <x:v>350</x:v>
      </x:c>
      <x:c r="E7" s="9" t="s">
        <x:v>351</x:v>
      </x:c>
      <x:c r="F7" s="96"/>
      <x:c r="G7" s="9"/>
      <x:c r="H7" s="9" t="s">
        <x:v>347</x:v>
      </x:c>
      <x:c r="I7" s="94"/>
      <x:c r="J7" s="94"/>
      <x:c r="K7" s="94"/>
      <x:c r="L7" s="94"/>
      <x:c r="M7" s="94"/>
      <x:c r="N7" s="94"/>
      <x:c r="O7" s="94"/>
      <x:c r="P7" s="94"/>
      <x:c r="Q7" s="94"/>
      <x:c r="R7" s="94"/>
      <x:c r="S7" s="94"/>
      <x:c r="T7" s="94"/>
      <x:c r="U7" s="94"/>
      <x:c r="V7" s="94"/>
      <x:c r="W7" s="94"/>
      <x:c r="X7" s="94"/>
      <x:c r="Y7" s="94"/>
      <x:c r="Z7" s="94"/>
    </x:row>
    <x:row r="8" ht="21" customHeight="1">
      <x:c r="A8" s="9">
        <x:v>5</x:v>
      </x:c>
      <x:c r="B8" s="9" t="s">
        <x:v>344</x:v>
      </x:c>
      <x:c r="C8" s="9" t="s">
        <x:v>340</x:v>
      </x:c>
      <x:c r="D8" s="9" t="s">
        <x:v>352</x:v>
      </x:c>
      <x:c r="E8" s="9" t="s">
        <x:v>353</x:v>
      </x:c>
      <x:c r="F8" s="96"/>
      <x:c r="G8" s="9"/>
      <x:c r="H8" s="9" t="s">
        <x:v>347</x:v>
      </x:c>
      <x:c r="I8" s="94"/>
      <x:c r="J8" s="94"/>
      <x:c r="K8" s="94"/>
      <x:c r="L8" s="94"/>
      <x:c r="M8" s="94"/>
      <x:c r="N8" s="94"/>
      <x:c r="O8" s="94"/>
      <x:c r="P8" s="94"/>
      <x:c r="Q8" s="94"/>
      <x:c r="R8" s="94"/>
      <x:c r="S8" s="94"/>
      <x:c r="T8" s="94"/>
      <x:c r="U8" s="94"/>
      <x:c r="V8" s="94"/>
      <x:c r="W8" s="94"/>
      <x:c r="X8" s="94"/>
      <x:c r="Y8" s="94"/>
      <x:c r="Z8" s="94"/>
    </x:row>
    <x:row r="9" ht="21" customHeight="1">
      <x:c r="A9" s="9">
        <x:v>6</x:v>
      </x:c>
      <x:c r="B9" s="9" t="s">
        <x:v>344</x:v>
      </x:c>
      <x:c r="C9" s="9" t="s">
        <x:v>340</x:v>
      </x:c>
      <x:c r="D9" s="9" t="s">
        <x:v>327</x:v>
      </x:c>
      <x:c r="E9" s="9" t="s">
        <x:v>354</x:v>
      </x:c>
      <x:c r="F9" s="96"/>
      <x:c r="G9" s="9"/>
      <x:c r="H9" s="9" t="s">
        <x:v>347</x:v>
      </x:c>
      <x:c r="I9" s="94"/>
      <x:c r="J9" s="94"/>
      <x:c r="K9" s="94"/>
      <x:c r="L9" s="94"/>
      <x:c r="M9" s="94"/>
      <x:c r="N9" s="94"/>
      <x:c r="O9" s="94"/>
      <x:c r="P9" s="94"/>
      <x:c r="Q9" s="94"/>
      <x:c r="R9" s="94"/>
      <x:c r="S9" s="94"/>
      <x:c r="T9" s="94"/>
      <x:c r="U9" s="94"/>
      <x:c r="V9" s="94"/>
      <x:c r="W9" s="94"/>
      <x:c r="X9" s="94"/>
      <x:c r="Y9" s="94"/>
      <x:c r="Z9" s="94"/>
    </x:row>
    <x:row r="10" ht="21" customHeight="1">
      <x:c r="A10" s="9" t="s">
        <x:v>355</x:v>
      </x:c>
      <x:c r="B10" s="9"/>
      <x:c r="C10" s="9"/>
      <x:c r="D10" s="9"/>
      <x:c r="E10" s="9"/>
      <x:c r="F10" s="96"/>
      <x:c r="G10" s="9"/>
      <x:c r="H10" s="9"/>
      <x:c r="I10" s="94"/>
      <x:c r="J10" s="94"/>
      <x:c r="K10" s="94"/>
      <x:c r="L10" s="94"/>
      <x:c r="M10" s="94"/>
      <x:c r="N10" s="94"/>
      <x:c r="O10" s="94"/>
      <x:c r="P10" s="94"/>
      <x:c r="Q10" s="94"/>
      <x:c r="R10" s="94"/>
      <x:c r="S10" s="94"/>
      <x:c r="T10" s="94"/>
      <x:c r="U10" s="94"/>
      <x:c r="V10" s="94"/>
      <x:c r="W10" s="94"/>
      <x:c r="X10" s="94"/>
      <x:c r="Y10" s="94"/>
      <x:c r="Z10" s="94"/>
    </x:row>
    <x:row r="11" ht="21" customHeight="1">
      <x:c r="A11" s="291">
        <x:v>1</x:v>
      </x:c>
      <x:c r="B11" s="267" t="s">
        <x:v>344</x:v>
      </x:c>
      <x:c r="C11" s="267" t="s">
        <x:v>356</x:v>
      </x:c>
      <x:c r="D11" s="267" t="s">
        <x:v>265</x:v>
      </x:c>
      <x:c r="E11" s="267" t="s">
        <x:v>357</x:v>
      </x:c>
      <x:c r="F11" s="267"/>
      <x:c r="G11" s="267"/>
      <x:c r="H11" s="292" t="s">
        <x:v>358</x:v>
      </x:c>
      <x:c r="I11" s="94"/>
      <x:c r="J11" s="94"/>
      <x:c r="K11" s="94"/>
      <x:c r="L11" s="94"/>
      <x:c r="M11" s="94"/>
      <x:c r="N11" s="94"/>
      <x:c r="O11" s="94"/>
      <x:c r="P11" s="94"/>
      <x:c r="Q11" s="94"/>
      <x:c r="R11" s="94"/>
      <x:c r="S11" s="94"/>
      <x:c r="T11" s="94"/>
      <x:c r="U11" s="94"/>
      <x:c r="V11" s="94"/>
      <x:c r="W11" s="94"/>
      <x:c r="X11" s="94"/>
      <x:c r="Y11" s="94"/>
      <x:c r="Z11" s="94"/>
    </x:row>
    <x:row r="12" ht="21" customHeight="1">
      <x:c r="A12" s="9">
        <x:v>2</x:v>
      </x:c>
      <x:c r="B12" s="9" t="s">
        <x:v>344</x:v>
      </x:c>
      <x:c r="C12" s="9" t="s">
        <x:v>356</x:v>
      </x:c>
      <x:c r="D12" s="9" t="s">
        <x:v>359</x:v>
      </x:c>
      <x:c r="E12" s="9" t="s">
        <x:v>360</x:v>
      </x:c>
      <x:c r="F12" s="96"/>
      <x:c r="G12" s="9"/>
      <x:c r="H12" s="98" t="s">
        <x:v>358</x:v>
      </x:c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21" customHeight="1">
      <x:c r="A13" s="9">
        <x:v>3</x:v>
      </x:c>
      <x:c r="B13" s="9" t="s">
        <x:v>344</x:v>
      </x:c>
      <x:c r="C13" s="9" t="s">
        <x:v>356</x:v>
      </x:c>
      <x:c r="D13" s="9" t="s">
        <x:v>361</x:v>
      </x:c>
      <x:c r="E13" s="9" t="s">
        <x:v>362</x:v>
      </x:c>
      <x:c r="F13" s="96"/>
      <x:c r="G13" s="9"/>
      <x:c r="H13" s="98" t="s">
        <x:v>358</x:v>
      </x:c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21" customHeight="1">
      <x:c r="A14" s="9"/>
      <x:c r="B14" s="9"/>
      <x:c r="C14" s="9"/>
      <x:c r="D14" s="9"/>
      <x:c r="E14" s="9"/>
      <x:c r="F14" s="96"/>
      <x:c r="G14" s="9"/>
      <x:c r="H14" s="98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21" customHeight="1">
      <x:c r="A15" s="9"/>
      <x:c r="B15" s="9"/>
      <x:c r="C15" s="9"/>
      <x:c r="D15" s="9"/>
      <x:c r="E15" s="9"/>
      <x:c r="F15" s="96"/>
      <x:c r="G15" s="9"/>
      <x:c r="H15" s="98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  <x:row r="121" ht="21" customHeight="1"/>
    <x:row r="122" ht="21" customHeight="1"/>
    <x:row r="123" ht="21" customHeight="1"/>
    <x:row r="124" ht="21" customHeight="1"/>
    <x:row r="125" ht="21" customHeight="1"/>
    <x:row r="126" ht="21" customHeight="1"/>
    <x:row r="127" ht="21" customHeight="1"/>
    <x:row r="128" ht="21" customHeight="1"/>
    <x:row r="129" ht="21" customHeight="1"/>
    <x:row r="130" ht="21" customHeight="1"/>
    <x:row r="131" ht="21" customHeight="1"/>
    <x:row r="132" ht="21" customHeight="1"/>
    <x:row r="133" ht="21" customHeight="1"/>
    <x:row r="134" ht="21" customHeight="1"/>
    <x:row r="135" ht="21" customHeight="1"/>
    <x:row r="136" ht="21" customHeight="1"/>
    <x:row r="137" ht="21" customHeight="1"/>
    <x:row r="138" ht="21" customHeight="1"/>
    <x:row r="139" ht="21" customHeight="1"/>
    <x:row r="140" ht="21" customHeight="1"/>
    <x:row r="141" ht="21" customHeight="1"/>
    <x:row r="142" ht="21" customHeight="1"/>
    <x:row r="143" ht="21" customHeight="1"/>
    <x:row r="144" ht="21" customHeight="1"/>
    <x:row r="145" ht="21" customHeight="1"/>
    <x:row r="146" ht="21" customHeight="1"/>
    <x:row r="147" ht="21" customHeight="1"/>
    <x:row r="148" ht="21" customHeight="1"/>
    <x:row r="149" ht="21" customHeight="1"/>
    <x:row r="150" ht="21" customHeight="1"/>
    <x:row r="151" ht="21" customHeight="1"/>
    <x:row r="152" ht="21" customHeight="1"/>
    <x:row r="153" ht="21" customHeight="1"/>
    <x:row r="154" ht="21" customHeight="1"/>
    <x:row r="155" ht="21" customHeight="1"/>
    <x:row r="156" ht="21" customHeight="1"/>
    <x:row r="157" ht="21" customHeight="1"/>
    <x:row r="158" ht="21" customHeight="1"/>
    <x:row r="159" ht="21" customHeight="1"/>
    <x:row r="160" ht="21" customHeight="1"/>
    <x:row r="161" ht="21" customHeight="1"/>
    <x:row r="162" ht="21" customHeight="1"/>
    <x:row r="163" ht="21" customHeight="1"/>
    <x:row r="164" ht="21" customHeight="1"/>
    <x:row r="165" ht="21" customHeight="1"/>
    <x:row r="166" ht="21" customHeight="1"/>
    <x:row r="167" ht="21" customHeight="1"/>
    <x:row r="168" ht="21" customHeight="1"/>
    <x:row r="169" ht="21" customHeight="1"/>
    <x:row r="170" ht="21" customHeight="1"/>
    <x:row r="171" ht="21" customHeight="1"/>
    <x:row r="172" ht="21" customHeight="1"/>
    <x:row r="173" ht="21" customHeight="1"/>
    <x:row r="174" ht="21" customHeight="1"/>
    <x:row r="175" ht="21" customHeight="1"/>
    <x:row r="176" ht="21" customHeight="1"/>
    <x:row r="177" ht="21" customHeight="1"/>
    <x:row r="178" ht="21" customHeight="1"/>
    <x:row r="179" ht="21" customHeight="1"/>
    <x:row r="180" ht="21" customHeight="1"/>
    <x:row r="181" ht="21" customHeight="1"/>
    <x:row r="182" ht="21" customHeight="1"/>
    <x:row r="183" ht="21" customHeight="1"/>
    <x:row r="184" ht="21" customHeight="1"/>
    <x:row r="185" ht="21" customHeight="1"/>
    <x:row r="186" ht="21" customHeight="1"/>
    <x:row r="187" ht="21" customHeight="1"/>
    <x:row r="188" ht="21" customHeight="1"/>
    <x:row r="189" ht="21" customHeight="1"/>
    <x:row r="190" ht="21" customHeight="1"/>
    <x:row r="191" ht="21" customHeight="1"/>
    <x:row r="192" ht="21" customHeight="1"/>
    <x:row r="193" ht="21" customHeight="1"/>
    <x:row r="194" ht="21" customHeight="1"/>
    <x:row r="195" ht="21" customHeight="1"/>
    <x:row r="196" ht="21" customHeight="1"/>
    <x:row r="197" ht="21" customHeight="1"/>
    <x:row r="198" ht="21" customHeight="1"/>
    <x:row r="199" ht="21" customHeight="1"/>
    <x:row r="200" ht="21" customHeight="1"/>
    <x:row r="201" ht="21" customHeight="1"/>
    <x:row r="202" ht="21" customHeight="1"/>
    <x:row r="203" ht="21" customHeight="1"/>
    <x:row r="204" ht="21" customHeight="1"/>
    <x:row r="205" ht="21" customHeight="1"/>
    <x:row r="206" ht="21" customHeight="1"/>
    <x:row r="207" ht="21" customHeight="1"/>
    <x:row r="208" ht="21" customHeight="1"/>
    <x:row r="209" ht="21" customHeight="1"/>
    <x:row r="210" ht="21" customHeight="1"/>
    <x:row r="211" ht="21" customHeight="1"/>
    <x:row r="212" ht="21" customHeight="1"/>
    <x:row r="213" ht="21" customHeight="1"/>
    <x:row r="214" ht="21" customHeight="1"/>
    <x:row r="215" ht="21" customHeight="1"/>
    <x:row r="216" ht="21" customHeight="1"/>
    <x:row r="217" ht="21" customHeight="1"/>
    <x:row r="218" ht="21" customHeight="1"/>
    <x:row r="219" ht="21" customHeight="1"/>
    <x:row r="220" ht="21" customHeight="1"/>
    <x:row r="221" ht="21" customHeight="1"/>
    <x:row r="222" ht="21" customHeight="1"/>
    <x:row r="223" ht="21" customHeight="1"/>
    <x:row r="224" ht="21" customHeight="1"/>
    <x:row r="225" ht="21" customHeight="1"/>
    <x:row r="226" ht="21" customHeight="1"/>
    <x:row r="227" ht="21" customHeight="1"/>
    <x:row r="228" ht="21" customHeight="1"/>
    <x:row r="229" ht="21" customHeight="1"/>
    <x:row r="230" ht="21" customHeight="1"/>
    <x:row r="231" ht="21" customHeight="1"/>
    <x:row r="232" ht="21" customHeight="1"/>
    <x:row r="233" ht="21" customHeight="1"/>
    <x:row r="234" ht="21" customHeight="1"/>
    <x:row r="235" ht="21" customHeight="1"/>
    <x:row r="236" ht="21" customHeight="1"/>
    <x:row r="237" ht="21" customHeight="1"/>
    <x:row r="238" ht="21" customHeight="1"/>
    <x:row r="239" ht="21" customHeight="1"/>
    <x:row r="240" ht="21" customHeight="1"/>
    <x:row r="241" ht="21" customHeight="1"/>
    <x:row r="242" ht="21" customHeight="1"/>
    <x:row r="243" ht="21" customHeight="1"/>
    <x:row r="244" ht="21" customHeight="1"/>
    <x:row r="245" ht="21" customHeight="1"/>
    <x:row r="246" ht="21" customHeight="1"/>
    <x:row r="247" ht="21" customHeight="1"/>
    <x:row r="248" ht="21" customHeight="1"/>
    <x:row r="249" ht="21" customHeight="1"/>
    <x:row r="250" ht="21" customHeight="1"/>
    <x:row r="251" ht="21" customHeight="1"/>
    <x:row r="252" ht="21" customHeight="1"/>
    <x:row r="253" ht="21" customHeight="1"/>
    <x:row r="254" ht="21" customHeight="1"/>
    <x:row r="255" ht="21" customHeight="1"/>
    <x:row r="256" ht="21" customHeight="1"/>
    <x:row r="257" ht="21" customHeight="1"/>
    <x:row r="258" ht="21" customHeight="1"/>
    <x:row r="259" ht="21" customHeight="1"/>
    <x:row r="260" ht="21" customHeight="1"/>
    <x:row r="261" ht="21" customHeight="1"/>
    <x:row r="262" ht="21" customHeight="1"/>
    <x:row r="263" ht="21" customHeight="1"/>
    <x:row r="264" ht="21" customHeight="1"/>
    <x:row r="265" ht="21" customHeight="1"/>
    <x:row r="266" ht="21" customHeight="1"/>
    <x:row r="267" ht="21" customHeight="1"/>
    <x:row r="268" ht="21" customHeight="1"/>
    <x:row r="269" ht="21" customHeight="1"/>
    <x:row r="270" ht="21" customHeight="1"/>
    <x:row r="271" ht="21" customHeight="1"/>
    <x:row r="272" ht="21" customHeight="1"/>
    <x:row r="273" ht="21" customHeight="1"/>
    <x:row r="274" ht="21" customHeight="1"/>
    <x:row r="275" ht="21" customHeight="1"/>
    <x:row r="276" ht="21" customHeight="1"/>
    <x:row r="277" ht="21" customHeight="1"/>
    <x:row r="278" ht="21" customHeight="1"/>
    <x:row r="279" ht="21" customHeight="1"/>
    <x:row r="280" ht="21" customHeight="1"/>
    <x:row r="281" ht="21" customHeight="1"/>
    <x:row r="282" ht="21" customHeight="1"/>
    <x:row r="283" ht="21" customHeight="1"/>
    <x:row r="284" ht="21" customHeight="1"/>
    <x:row r="285" ht="21" customHeight="1"/>
    <x:row r="286" ht="21" customHeight="1"/>
    <x:row r="287" ht="21" customHeight="1"/>
    <x:row r="288" ht="21" customHeight="1"/>
    <x:row r="289" ht="21" customHeight="1"/>
    <x:row r="290" ht="21" customHeight="1"/>
    <x:row r="291" ht="21" customHeight="1"/>
    <x:row r="292" ht="21" customHeight="1"/>
    <x:row r="293" ht="21" customHeight="1"/>
    <x:row r="294" ht="21" customHeight="1"/>
    <x:row r="295" ht="21" customHeight="1"/>
    <x:row r="296" ht="21" customHeight="1"/>
    <x:row r="297" ht="21" customHeight="1"/>
    <x:row r="298" ht="21" customHeight="1"/>
    <x:row r="299" ht="21" customHeight="1"/>
    <x:row r="300" ht="21" customHeight="1"/>
    <x:row r="301" ht="21" customHeight="1"/>
    <x:row r="302" ht="21" customHeight="1"/>
    <x:row r="303" ht="21" customHeight="1"/>
    <x:row r="304" ht="21" customHeight="1"/>
    <x:row r="305" ht="21" customHeight="1"/>
    <x:row r="306" ht="21" customHeight="1"/>
    <x:row r="307" ht="21" customHeight="1"/>
    <x:row r="308" ht="21" customHeight="1"/>
    <x:row r="309" ht="21" customHeight="1"/>
    <x:row r="310" ht="21" customHeight="1"/>
    <x:row r="311" ht="21" customHeight="1"/>
    <x:row r="312" ht="21" customHeight="1"/>
    <x:row r="313" ht="21" customHeight="1"/>
    <x:row r="314" ht="21" customHeight="1"/>
    <x:row r="315" ht="21" customHeight="1"/>
    <x:row r="316" ht="21" customHeight="1"/>
    <x:row r="317" ht="21" customHeight="1"/>
    <x:row r="318" ht="21" customHeight="1"/>
    <x:row r="319" ht="21" customHeight="1"/>
    <x:row r="320" ht="21" customHeight="1"/>
    <x:row r="321" ht="21" customHeight="1"/>
    <x:row r="322" ht="21" customHeight="1"/>
    <x:row r="323" ht="21" customHeight="1"/>
    <x:row r="324" ht="21" customHeight="1"/>
    <x:row r="325" ht="21" customHeight="1"/>
    <x:row r="326" ht="21" customHeight="1"/>
    <x:row r="327" ht="21" customHeight="1"/>
    <x:row r="328" ht="21" customHeight="1"/>
    <x:row r="329" ht="21" customHeight="1"/>
    <x:row r="330" ht="21" customHeight="1"/>
    <x:row r="331" ht="21" customHeight="1"/>
    <x:row r="332" ht="21" customHeight="1"/>
    <x:row r="333" ht="21" customHeight="1"/>
    <x:row r="334" ht="21" customHeight="1"/>
    <x:row r="335" ht="21" customHeight="1"/>
    <x:row r="336" ht="21" customHeight="1"/>
    <x:row r="337" ht="21" customHeight="1"/>
    <x:row r="338" ht="21" customHeight="1"/>
    <x:row r="339" ht="21" customHeight="1"/>
    <x:row r="340" ht="21" customHeight="1"/>
    <x:row r="341" ht="21" customHeight="1"/>
    <x:row r="342" ht="21" customHeight="1"/>
    <x:row r="343" ht="21" customHeight="1"/>
    <x:row r="344" ht="21" customHeight="1"/>
    <x:row r="345" ht="21" customHeight="1"/>
    <x:row r="346" ht="21" customHeight="1"/>
    <x:row r="347" ht="21" customHeight="1"/>
    <x:row r="348" ht="21" customHeight="1"/>
    <x:row r="349" ht="21" customHeight="1"/>
    <x:row r="350" ht="21" customHeight="1"/>
    <x:row r="351" ht="21" customHeight="1"/>
    <x:row r="352" ht="21" customHeight="1"/>
    <x:row r="353" ht="21" customHeight="1"/>
    <x:row r="354" ht="21" customHeight="1"/>
    <x:row r="355" ht="21" customHeight="1"/>
    <x:row r="356" ht="21" customHeight="1"/>
    <x:row r="357" ht="21" customHeight="1"/>
    <x:row r="358" ht="21" customHeight="1"/>
    <x:row r="359" ht="21" customHeight="1"/>
    <x:row r="360" ht="21" customHeight="1"/>
    <x:row r="361" ht="21" customHeight="1"/>
    <x:row r="362" ht="21" customHeight="1"/>
    <x:row r="363" ht="21" customHeight="1"/>
    <x:row r="364" ht="21" customHeight="1"/>
    <x:row r="365" ht="21" customHeight="1"/>
    <x:row r="366" ht="21" customHeight="1"/>
    <x:row r="367" ht="21" customHeight="1"/>
    <x:row r="368" ht="21" customHeight="1"/>
    <x:row r="369" ht="21" customHeight="1"/>
    <x:row r="370" ht="21" customHeight="1"/>
    <x:row r="371" ht="21" customHeight="1"/>
    <x:row r="372" ht="21" customHeight="1"/>
    <x:row r="373" ht="21" customHeight="1"/>
    <x:row r="374" ht="21" customHeight="1"/>
    <x:row r="375" ht="21" customHeight="1"/>
    <x:row r="376" ht="21" customHeight="1"/>
    <x:row r="377" ht="21" customHeight="1"/>
    <x:row r="378" ht="21" customHeight="1"/>
    <x:row r="379" ht="21" customHeight="1"/>
    <x:row r="380" ht="21" customHeight="1"/>
    <x:row r="381" ht="21" customHeight="1"/>
    <x:row r="382" ht="21" customHeight="1"/>
    <x:row r="383" ht="21" customHeight="1"/>
    <x:row r="384" ht="21" customHeight="1"/>
    <x:row r="385" ht="21" customHeight="1"/>
    <x:row r="386" ht="21" customHeight="1"/>
    <x:row r="387" ht="21" customHeight="1"/>
    <x:row r="388" ht="21" customHeight="1"/>
    <x:row r="389" ht="21" customHeight="1"/>
    <x:row r="390" ht="21" customHeight="1"/>
    <x:row r="391" ht="21" customHeight="1"/>
    <x:row r="392" ht="21" customHeight="1"/>
    <x:row r="393" ht="21" customHeight="1"/>
    <x:row r="394" ht="21" customHeight="1"/>
    <x:row r="395" ht="21" customHeight="1"/>
    <x:row r="396" ht="21" customHeight="1"/>
    <x:row r="397" ht="21" customHeight="1"/>
    <x:row r="398" ht="21" customHeight="1"/>
    <x:row r="399" ht="21" customHeight="1"/>
    <x:row r="400" ht="21" customHeight="1"/>
    <x:row r="401" ht="21" customHeight="1"/>
    <x:row r="402" ht="21" customHeight="1"/>
    <x:row r="403" ht="21" customHeight="1"/>
    <x:row r="404" ht="21" customHeight="1"/>
    <x:row r="405" ht="21" customHeight="1"/>
    <x:row r="406" ht="21" customHeight="1"/>
    <x:row r="407" ht="21" customHeight="1"/>
    <x:row r="408" ht="21" customHeight="1"/>
    <x:row r="409" ht="21" customHeight="1"/>
    <x:row r="410" ht="21" customHeight="1"/>
    <x:row r="411" ht="21" customHeight="1"/>
    <x:row r="412" ht="21" customHeight="1"/>
    <x:row r="413" ht="21" customHeight="1"/>
    <x:row r="414" ht="21" customHeight="1"/>
    <x:row r="415" ht="21" customHeight="1"/>
    <x:row r="416" ht="21" customHeight="1"/>
    <x:row r="417" ht="21" customHeight="1"/>
    <x:row r="418" ht="21" customHeight="1"/>
    <x:row r="419" ht="21" customHeight="1"/>
    <x:row r="420" ht="21" customHeight="1"/>
    <x:row r="421" ht="21" customHeight="1"/>
    <x:row r="422" ht="21" customHeight="1"/>
    <x:row r="423" ht="21" customHeight="1"/>
    <x:row r="424" ht="21" customHeight="1"/>
    <x:row r="425" ht="21" customHeight="1"/>
    <x:row r="426" ht="21" customHeight="1"/>
    <x:row r="427" ht="21" customHeight="1"/>
    <x:row r="428" ht="21" customHeight="1"/>
    <x:row r="429" ht="21" customHeight="1"/>
    <x:row r="430" ht="21" customHeight="1"/>
    <x:row r="431" ht="21" customHeight="1"/>
    <x:row r="432" ht="21" customHeight="1"/>
    <x:row r="433" ht="21" customHeight="1"/>
    <x:row r="434" ht="21" customHeight="1"/>
    <x:row r="435" ht="21" customHeight="1"/>
    <x:row r="436" ht="21" customHeight="1"/>
    <x:row r="437" ht="21" customHeight="1"/>
    <x:row r="438" ht="21" customHeight="1"/>
    <x:row r="439" ht="21" customHeight="1"/>
    <x:row r="440" ht="21" customHeight="1"/>
    <x:row r="441" ht="21" customHeight="1"/>
    <x:row r="442" ht="21" customHeight="1"/>
    <x:row r="443" ht="21" customHeight="1"/>
    <x:row r="444" ht="21" customHeight="1"/>
    <x:row r="445" ht="21" customHeight="1"/>
    <x:row r="446" ht="21" customHeight="1"/>
    <x:row r="447" ht="21" customHeight="1"/>
    <x:row r="448" ht="21" customHeight="1"/>
    <x:row r="449" ht="21" customHeight="1"/>
    <x:row r="450" ht="21" customHeight="1"/>
    <x:row r="451" ht="21" customHeight="1"/>
    <x:row r="452" ht="21" customHeight="1"/>
    <x:row r="453" ht="21" customHeight="1"/>
    <x:row r="454" ht="21" customHeight="1"/>
    <x:row r="455" ht="21" customHeight="1"/>
    <x:row r="456" ht="21" customHeight="1"/>
    <x:row r="457" ht="21" customHeight="1"/>
    <x:row r="458" ht="21" customHeight="1"/>
    <x:row r="459" ht="21" customHeight="1"/>
    <x:row r="460" ht="21" customHeight="1"/>
    <x:row r="461" ht="21" customHeight="1"/>
    <x:row r="462" ht="21" customHeight="1"/>
    <x:row r="463" ht="21" customHeight="1"/>
    <x:row r="464" ht="21" customHeight="1"/>
    <x:row r="465" ht="21" customHeight="1"/>
    <x:row r="466" ht="21" customHeight="1"/>
    <x:row r="467" ht="21" customHeight="1"/>
    <x:row r="468" ht="21" customHeight="1"/>
    <x:row r="469" ht="21" customHeight="1"/>
    <x:row r="470" ht="21" customHeight="1"/>
    <x:row r="471" ht="21" customHeight="1"/>
    <x:row r="472" ht="21" customHeight="1"/>
    <x:row r="473" ht="21" customHeight="1"/>
    <x:row r="474" ht="21" customHeight="1"/>
    <x:row r="475" ht="21" customHeight="1"/>
    <x:row r="476" ht="21" customHeight="1"/>
    <x:row r="477" ht="21" customHeight="1"/>
    <x:row r="478" ht="21" customHeight="1"/>
    <x:row r="479" ht="21" customHeight="1"/>
    <x:row r="480" ht="21" customHeight="1"/>
    <x:row r="481" ht="21" customHeight="1"/>
    <x:row r="482" ht="21" customHeight="1"/>
    <x:row r="483" ht="21" customHeight="1"/>
    <x:row r="484" ht="21" customHeight="1"/>
    <x:row r="485" ht="21" customHeight="1"/>
    <x:row r="486" ht="21" customHeight="1"/>
    <x:row r="487" ht="21" customHeight="1"/>
    <x:row r="488" ht="21" customHeight="1"/>
    <x:row r="489" ht="21" customHeight="1"/>
    <x:row r="490" ht="21" customHeight="1"/>
    <x:row r="491" ht="21" customHeight="1"/>
    <x:row r="492" ht="21" customHeight="1"/>
    <x:row r="493" ht="21" customHeight="1"/>
    <x:row r="494" ht="21" customHeight="1"/>
    <x:row r="495" ht="21" customHeight="1"/>
    <x:row r="496" ht="21" customHeight="1"/>
    <x:row r="497" ht="21" customHeight="1"/>
    <x:row r="498" ht="21" customHeight="1"/>
    <x:row r="499" ht="21" customHeight="1"/>
    <x:row r="500" ht="21" customHeight="1"/>
    <x:row r="501" ht="21" customHeight="1"/>
    <x:row r="502" ht="21" customHeight="1"/>
    <x:row r="503" ht="21" customHeight="1"/>
    <x:row r="504" ht="21" customHeight="1"/>
    <x:row r="505" ht="21" customHeight="1"/>
    <x:row r="506" ht="21" customHeight="1"/>
    <x:row r="507" ht="21" customHeight="1"/>
    <x:row r="508" ht="21" customHeight="1"/>
    <x:row r="509" ht="21" customHeight="1"/>
    <x:row r="510" ht="21" customHeight="1"/>
    <x:row r="511" ht="21" customHeight="1"/>
    <x:row r="512" ht="21" customHeight="1"/>
    <x:row r="513" ht="21" customHeight="1"/>
    <x:row r="514" ht="21" customHeight="1"/>
    <x:row r="515" ht="21" customHeight="1"/>
    <x:row r="516" ht="21" customHeight="1"/>
    <x:row r="517" ht="21" customHeight="1"/>
    <x:row r="518" ht="21" customHeight="1"/>
    <x:row r="519" ht="21" customHeight="1"/>
    <x:row r="520" ht="21" customHeight="1"/>
    <x:row r="521" ht="21" customHeight="1"/>
    <x:row r="522" ht="21" customHeight="1"/>
    <x:row r="523" ht="21" customHeight="1"/>
    <x:row r="524" ht="21" customHeight="1"/>
    <x:row r="525" ht="21" customHeight="1"/>
    <x:row r="526" ht="21" customHeight="1"/>
    <x:row r="527" ht="21" customHeight="1"/>
    <x:row r="528" ht="21" customHeight="1"/>
    <x:row r="529" ht="21" customHeight="1"/>
    <x:row r="530" ht="21" customHeight="1"/>
    <x:row r="531" ht="21" customHeight="1"/>
    <x:row r="532" ht="21" customHeight="1"/>
    <x:row r="533" ht="21" customHeight="1"/>
    <x:row r="534" ht="21" customHeight="1"/>
    <x:row r="535" ht="21" customHeight="1"/>
    <x:row r="536" ht="21" customHeight="1"/>
    <x:row r="537" ht="21" customHeight="1"/>
    <x:row r="538" ht="21" customHeight="1"/>
    <x:row r="539" ht="21" customHeight="1"/>
    <x:row r="540" ht="21" customHeight="1"/>
    <x:row r="541" ht="21" customHeight="1"/>
    <x:row r="542" ht="21" customHeight="1"/>
    <x:row r="543" ht="21" customHeight="1"/>
    <x:row r="544" ht="21" customHeight="1"/>
    <x:row r="545" ht="21" customHeight="1"/>
    <x:row r="546" ht="21" customHeight="1"/>
    <x:row r="547" ht="21" customHeight="1"/>
    <x:row r="548" ht="21" customHeight="1"/>
    <x:row r="549" ht="21" customHeight="1"/>
    <x:row r="550" ht="21" customHeight="1"/>
    <x:row r="551" ht="21" customHeight="1"/>
    <x:row r="552" ht="21" customHeight="1"/>
    <x:row r="553" ht="21" customHeight="1"/>
    <x:row r="554" ht="21" customHeight="1"/>
    <x:row r="555" ht="21" customHeight="1"/>
    <x:row r="556" ht="21" customHeight="1"/>
    <x:row r="557" ht="21" customHeight="1"/>
    <x:row r="558" ht="21" customHeight="1"/>
    <x:row r="559" ht="21" customHeight="1"/>
    <x:row r="560" ht="21" customHeight="1"/>
    <x:row r="561" ht="21" customHeight="1"/>
    <x:row r="562" ht="21" customHeight="1"/>
    <x:row r="563" ht="21" customHeight="1"/>
    <x:row r="564" ht="21" customHeight="1"/>
    <x:row r="565" ht="21" customHeight="1"/>
    <x:row r="566" ht="21" customHeight="1"/>
    <x:row r="567" ht="21" customHeight="1"/>
    <x:row r="568" ht="21" customHeight="1"/>
    <x:row r="569" ht="21" customHeight="1"/>
    <x:row r="570" ht="21" customHeight="1"/>
    <x:row r="571" ht="21" customHeight="1"/>
    <x:row r="572" ht="21" customHeight="1"/>
    <x:row r="573" ht="21" customHeight="1"/>
    <x:row r="574" ht="21" customHeight="1"/>
    <x:row r="575" ht="21" customHeight="1"/>
    <x:row r="576" ht="21" customHeight="1"/>
    <x:row r="577" ht="21" customHeight="1"/>
    <x:row r="578" ht="21" customHeight="1"/>
    <x:row r="579" ht="21" customHeight="1"/>
    <x:row r="580" ht="21" customHeight="1"/>
    <x:row r="581" ht="21" customHeight="1"/>
    <x:row r="582" ht="21" customHeight="1"/>
    <x:row r="583" ht="21" customHeight="1"/>
    <x:row r="584" ht="21" customHeight="1"/>
    <x:row r="585" ht="21" customHeight="1"/>
    <x:row r="586" ht="21" customHeight="1"/>
    <x:row r="587" ht="21" customHeight="1"/>
    <x:row r="588" ht="21" customHeight="1"/>
    <x:row r="589" ht="21" customHeight="1"/>
    <x:row r="590" ht="21" customHeight="1"/>
    <x:row r="591" ht="21" customHeight="1"/>
    <x:row r="592" ht="21" customHeight="1"/>
    <x:row r="593" ht="21" customHeight="1"/>
    <x:row r="594" ht="21" customHeight="1"/>
    <x:row r="595" ht="21" customHeight="1"/>
    <x:row r="596" ht="21" customHeight="1"/>
    <x:row r="597" ht="21" customHeight="1"/>
    <x:row r="598" ht="21" customHeight="1"/>
    <x:row r="599" ht="21" customHeight="1"/>
    <x:row r="600" ht="21" customHeight="1"/>
    <x:row r="601" ht="21" customHeight="1"/>
    <x:row r="602" ht="21" customHeight="1"/>
    <x:row r="603" ht="21" customHeight="1"/>
    <x:row r="604" ht="21" customHeight="1"/>
    <x:row r="605" ht="21" customHeight="1"/>
    <x:row r="606" ht="21" customHeight="1"/>
    <x:row r="607" ht="21" customHeight="1"/>
    <x:row r="608" ht="21" customHeight="1"/>
    <x:row r="609" ht="21" customHeight="1"/>
    <x:row r="610" ht="21" customHeight="1"/>
    <x:row r="611" ht="21" customHeight="1"/>
    <x:row r="612" ht="21" customHeight="1"/>
    <x:row r="613" ht="21" customHeight="1"/>
    <x:row r="614" ht="21" customHeight="1"/>
    <x:row r="615" ht="21" customHeight="1"/>
    <x:row r="616" ht="21" customHeight="1"/>
    <x:row r="617" ht="21" customHeight="1"/>
    <x:row r="618" ht="21" customHeight="1"/>
    <x:row r="619" ht="21" customHeight="1"/>
    <x:row r="620" ht="21" customHeight="1"/>
    <x:row r="621" ht="21" customHeight="1"/>
    <x:row r="622" ht="21" customHeight="1"/>
    <x:row r="623" ht="21" customHeight="1"/>
    <x:row r="624" ht="21" customHeight="1"/>
    <x:row r="625" ht="21" customHeight="1"/>
    <x:row r="626" ht="21" customHeight="1"/>
    <x:row r="627" ht="21" customHeight="1"/>
    <x:row r="628" ht="21" customHeight="1"/>
    <x:row r="629" ht="21" customHeight="1"/>
    <x:row r="630" ht="21" customHeight="1"/>
    <x:row r="631" ht="21" customHeight="1"/>
    <x:row r="632" ht="21" customHeight="1"/>
    <x:row r="633" ht="21" customHeight="1"/>
    <x:row r="634" ht="21" customHeight="1"/>
    <x:row r="635" ht="21" customHeight="1"/>
    <x:row r="636" ht="21" customHeight="1"/>
    <x:row r="637" ht="21" customHeight="1"/>
    <x:row r="638" ht="21" customHeight="1"/>
    <x:row r="639" ht="21" customHeight="1"/>
    <x:row r="640" ht="21" customHeight="1"/>
    <x:row r="641" ht="21" customHeight="1"/>
    <x:row r="642" ht="21" customHeight="1"/>
    <x:row r="643" ht="21" customHeight="1"/>
    <x:row r="644" ht="21" customHeight="1"/>
    <x:row r="645" ht="21" customHeight="1"/>
    <x:row r="646" ht="21" customHeight="1"/>
    <x:row r="647" ht="21" customHeight="1"/>
    <x:row r="648" ht="21" customHeight="1"/>
    <x:row r="649" ht="21" customHeight="1"/>
    <x:row r="650" ht="21" customHeight="1"/>
    <x:row r="651" ht="21" customHeight="1"/>
    <x:row r="652" ht="21" customHeight="1"/>
    <x:row r="653" ht="21" customHeight="1"/>
    <x:row r="654" ht="21" customHeight="1"/>
    <x:row r="655" ht="21" customHeight="1"/>
    <x:row r="656" ht="21" customHeight="1"/>
    <x:row r="657" ht="21" customHeight="1"/>
    <x:row r="658" ht="21" customHeight="1"/>
    <x:row r="659" ht="21" customHeight="1"/>
    <x:row r="660" ht="21" customHeight="1"/>
    <x:row r="661" ht="21" customHeight="1"/>
    <x:row r="662" ht="21" customHeight="1"/>
    <x:row r="663" ht="21" customHeight="1"/>
    <x:row r="664" ht="21" customHeight="1"/>
    <x:row r="665" ht="21" customHeight="1"/>
    <x:row r="666" ht="21" customHeight="1"/>
    <x:row r="667" ht="21" customHeight="1"/>
    <x:row r="668" ht="21" customHeight="1"/>
    <x:row r="669" ht="21" customHeight="1"/>
    <x:row r="670" ht="21" customHeight="1"/>
    <x:row r="671" ht="21" customHeight="1"/>
    <x:row r="672" ht="21" customHeight="1"/>
    <x:row r="673" ht="21" customHeight="1"/>
    <x:row r="674" ht="21" customHeight="1"/>
    <x:row r="675" ht="21" customHeight="1"/>
    <x:row r="676" ht="21" customHeight="1"/>
    <x:row r="677" ht="21" customHeight="1"/>
    <x:row r="678" ht="21" customHeight="1"/>
    <x:row r="679" ht="21" customHeight="1"/>
    <x:row r="680" ht="21" customHeight="1"/>
    <x:row r="681" ht="21" customHeight="1"/>
    <x:row r="682" ht="21" customHeight="1"/>
    <x:row r="683" ht="21" customHeight="1"/>
    <x:row r="684" ht="21" customHeight="1"/>
    <x:row r="685" ht="21" customHeight="1"/>
    <x:row r="686" ht="21" customHeight="1"/>
    <x:row r="687" ht="21" customHeight="1"/>
    <x:row r="688" ht="21" customHeight="1"/>
    <x:row r="689" ht="21" customHeight="1"/>
    <x:row r="690" ht="21" customHeight="1"/>
    <x:row r="691" ht="21" customHeight="1"/>
    <x:row r="692" ht="21" customHeight="1"/>
    <x:row r="693" ht="21" customHeight="1"/>
    <x:row r="694" ht="21" customHeight="1"/>
    <x:row r="695" ht="21" customHeight="1"/>
    <x:row r="696" ht="21" customHeight="1"/>
    <x:row r="697" ht="21" customHeight="1"/>
    <x:row r="698" ht="21" customHeight="1"/>
    <x:row r="699" ht="21" customHeight="1"/>
    <x:row r="700" ht="21" customHeight="1"/>
    <x:row r="701" ht="21" customHeight="1"/>
    <x:row r="702" ht="21" customHeight="1"/>
    <x:row r="703" ht="21" customHeight="1"/>
    <x:row r="704" ht="21" customHeight="1"/>
    <x:row r="705" ht="21" customHeight="1"/>
    <x:row r="706" ht="21" customHeight="1"/>
    <x:row r="707" ht="21" customHeight="1"/>
    <x:row r="708" ht="21" customHeight="1"/>
    <x:row r="709" ht="21" customHeight="1"/>
    <x:row r="710" ht="21" customHeight="1"/>
    <x:row r="711" ht="21" customHeight="1"/>
    <x:row r="712" ht="21" customHeight="1"/>
    <x:row r="713" ht="21" customHeight="1"/>
    <x:row r="714" ht="21" customHeight="1"/>
    <x:row r="715" ht="21" customHeight="1"/>
    <x:row r="716" ht="21" customHeight="1"/>
    <x:row r="717" ht="21" customHeight="1"/>
    <x:row r="718" ht="21" customHeight="1"/>
    <x:row r="719" ht="21" customHeight="1"/>
    <x:row r="720" ht="21" customHeight="1"/>
    <x:row r="721" ht="21" customHeight="1"/>
    <x:row r="722" ht="21" customHeight="1"/>
    <x:row r="723" ht="21" customHeight="1"/>
    <x:row r="724" ht="21" customHeight="1"/>
    <x:row r="725" ht="21" customHeight="1"/>
    <x:row r="726" ht="21" customHeight="1"/>
    <x:row r="727" ht="21" customHeight="1"/>
    <x:row r="728" ht="21" customHeight="1"/>
    <x:row r="729" ht="21" customHeight="1"/>
    <x:row r="730" ht="21" customHeight="1"/>
    <x:row r="731" ht="21" customHeight="1"/>
    <x:row r="732" ht="21" customHeight="1"/>
    <x:row r="733" ht="21" customHeight="1"/>
    <x:row r="734" ht="21" customHeight="1"/>
    <x:row r="735" ht="21" customHeight="1"/>
    <x:row r="736" ht="21" customHeight="1"/>
    <x:row r="737" ht="21" customHeight="1"/>
    <x:row r="738" ht="21" customHeight="1"/>
    <x:row r="739" ht="21" customHeight="1"/>
    <x:row r="740" ht="21" customHeight="1"/>
    <x:row r="741" ht="21" customHeight="1"/>
    <x:row r="742" ht="21" customHeight="1"/>
    <x:row r="743" ht="21" customHeight="1"/>
    <x:row r="744" ht="21" customHeight="1"/>
    <x:row r="745" ht="21" customHeight="1"/>
    <x:row r="746" ht="21" customHeight="1"/>
    <x:row r="747" ht="21" customHeight="1"/>
    <x:row r="748" ht="21" customHeight="1"/>
    <x:row r="749" ht="21" customHeight="1"/>
    <x:row r="750" ht="21" customHeight="1"/>
    <x:row r="751" ht="21" customHeight="1"/>
    <x:row r="752" ht="21" customHeight="1"/>
    <x:row r="753" ht="21" customHeight="1"/>
    <x:row r="754" ht="21" customHeight="1"/>
    <x:row r="755" ht="21" customHeight="1"/>
    <x:row r="756" ht="21" customHeight="1"/>
    <x:row r="757" ht="21" customHeight="1"/>
    <x:row r="758" ht="21" customHeight="1"/>
    <x:row r="759" ht="21" customHeight="1"/>
    <x:row r="760" ht="21" customHeight="1"/>
    <x:row r="761" ht="21" customHeight="1"/>
    <x:row r="762" ht="21" customHeight="1"/>
    <x:row r="763" ht="21" customHeight="1"/>
    <x:row r="764" ht="21" customHeight="1"/>
    <x:row r="765" ht="21" customHeight="1"/>
    <x:row r="766" ht="21" customHeight="1"/>
    <x:row r="767" ht="21" customHeight="1"/>
    <x:row r="768" ht="21" customHeight="1"/>
    <x:row r="769" ht="21" customHeight="1"/>
    <x:row r="770" ht="21" customHeight="1"/>
    <x:row r="771" ht="21" customHeight="1"/>
    <x:row r="772" ht="21" customHeight="1"/>
    <x:row r="773" ht="21" customHeight="1"/>
    <x:row r="774" ht="21" customHeight="1"/>
    <x:row r="775" ht="21" customHeight="1"/>
    <x:row r="776" ht="21" customHeight="1"/>
    <x:row r="777" ht="21" customHeight="1"/>
    <x:row r="778" ht="21" customHeight="1"/>
    <x:row r="779" ht="21" customHeight="1"/>
    <x:row r="780" ht="21" customHeight="1"/>
    <x:row r="781" ht="21" customHeight="1"/>
    <x:row r="782" ht="21" customHeight="1"/>
    <x:row r="783" ht="21" customHeight="1"/>
    <x:row r="784" ht="21" customHeight="1"/>
    <x:row r="785" ht="21" customHeight="1"/>
    <x:row r="786" ht="21" customHeight="1"/>
    <x:row r="787" ht="21" customHeight="1"/>
    <x:row r="788" ht="21" customHeight="1"/>
    <x:row r="789" ht="21" customHeight="1"/>
    <x:row r="790" ht="21" customHeight="1"/>
    <x:row r="791" ht="21" customHeight="1"/>
    <x:row r="792" ht="21" customHeight="1"/>
    <x:row r="793" ht="21" customHeight="1"/>
    <x:row r="794" ht="21" customHeight="1"/>
    <x:row r="795" ht="21" customHeight="1"/>
    <x:row r="796" ht="21" customHeight="1"/>
    <x:row r="797" ht="21" customHeight="1"/>
    <x:row r="798" ht="21" customHeight="1"/>
    <x:row r="799" ht="21" customHeight="1"/>
    <x:row r="800" ht="21" customHeight="1"/>
    <x:row r="801" ht="21" customHeight="1"/>
    <x:row r="802" ht="21" customHeight="1"/>
    <x:row r="803" ht="21" customHeight="1"/>
    <x:row r="804" ht="21" customHeight="1"/>
    <x:row r="805" ht="21" customHeight="1"/>
    <x:row r="806" ht="21" customHeight="1"/>
    <x:row r="807" ht="21" customHeight="1"/>
    <x:row r="808" ht="21" customHeight="1"/>
    <x:row r="809" ht="21" customHeight="1"/>
    <x:row r="810" ht="21" customHeight="1"/>
    <x:row r="811" ht="21" customHeight="1"/>
    <x:row r="812" ht="21" customHeight="1"/>
    <x:row r="813" ht="21" customHeight="1"/>
    <x:row r="814" ht="21" customHeight="1"/>
    <x:row r="815" ht="21" customHeight="1"/>
    <x:row r="816" ht="21" customHeight="1"/>
    <x:row r="817" ht="21" customHeight="1"/>
    <x:row r="818" ht="21" customHeight="1"/>
    <x:row r="819" ht="21" customHeight="1"/>
    <x:row r="820" ht="21" customHeight="1"/>
    <x:row r="821" ht="21" customHeight="1"/>
    <x:row r="822" ht="21" customHeight="1"/>
    <x:row r="823" ht="21" customHeight="1"/>
    <x:row r="824" ht="21" customHeight="1"/>
    <x:row r="825" ht="21" customHeight="1"/>
    <x:row r="826" ht="21" customHeight="1"/>
    <x:row r="827" ht="21" customHeight="1"/>
    <x:row r="828" ht="21" customHeight="1"/>
    <x:row r="829" ht="21" customHeight="1"/>
    <x:row r="830" ht="21" customHeight="1"/>
    <x:row r="831" ht="21" customHeight="1"/>
    <x:row r="832" ht="21" customHeight="1"/>
    <x:row r="833" ht="21" customHeight="1"/>
    <x:row r="834" ht="21" customHeight="1"/>
    <x:row r="835" ht="21" customHeight="1"/>
    <x:row r="836" ht="21" customHeight="1"/>
    <x:row r="837" ht="21" customHeight="1"/>
    <x:row r="838" ht="21" customHeight="1"/>
    <x:row r="839" ht="21" customHeight="1"/>
    <x:row r="840" ht="21" customHeight="1"/>
    <x:row r="841" ht="21" customHeight="1"/>
    <x:row r="842" ht="21" customHeight="1"/>
    <x:row r="843" ht="21" customHeight="1"/>
    <x:row r="844" ht="21" customHeight="1"/>
    <x:row r="845" ht="21" customHeight="1"/>
    <x:row r="846" ht="21" customHeight="1"/>
    <x:row r="847" ht="21" customHeight="1"/>
    <x:row r="848" ht="21" customHeight="1"/>
    <x:row r="849" ht="21" customHeight="1"/>
    <x:row r="850" ht="21" customHeight="1"/>
    <x:row r="851" ht="21" customHeight="1"/>
    <x:row r="852" ht="21" customHeight="1"/>
    <x:row r="853" ht="21" customHeight="1"/>
    <x:row r="854" ht="21" customHeight="1"/>
    <x:row r="855" ht="21" customHeight="1"/>
    <x:row r="856" ht="21" customHeight="1"/>
    <x:row r="857" ht="21" customHeight="1"/>
    <x:row r="858" ht="21" customHeight="1"/>
    <x:row r="859" ht="21" customHeight="1"/>
    <x:row r="860" ht="21" customHeight="1"/>
    <x:row r="861" ht="21" customHeight="1"/>
    <x:row r="862" ht="21" customHeight="1"/>
    <x:row r="863" ht="21" customHeight="1"/>
    <x:row r="864" ht="21" customHeight="1"/>
    <x:row r="865" ht="21" customHeight="1"/>
    <x:row r="866" ht="21" customHeight="1"/>
    <x:row r="867" ht="21" customHeight="1"/>
    <x:row r="868" ht="21" customHeight="1"/>
    <x:row r="869" ht="21" customHeight="1"/>
    <x:row r="870" ht="21" customHeight="1"/>
    <x:row r="871" ht="21" customHeight="1"/>
    <x:row r="872" ht="21" customHeight="1"/>
    <x:row r="873" ht="21" customHeight="1"/>
    <x:row r="874" ht="21" customHeight="1"/>
    <x:row r="875" ht="21" customHeight="1"/>
    <x:row r="876" ht="21" customHeight="1"/>
    <x:row r="877" ht="21" customHeight="1"/>
    <x:row r="878" ht="21" customHeight="1"/>
    <x:row r="879" ht="21" customHeight="1"/>
    <x:row r="880" ht="21" customHeight="1"/>
    <x:row r="881" ht="21" customHeight="1"/>
    <x:row r="882" ht="21" customHeight="1"/>
    <x:row r="883" ht="21" customHeight="1"/>
    <x:row r="884" ht="21" customHeight="1"/>
    <x:row r="885" ht="21" customHeight="1"/>
    <x:row r="886" ht="21" customHeight="1"/>
    <x:row r="887" ht="21" customHeight="1"/>
    <x:row r="888" ht="21" customHeight="1"/>
    <x:row r="889" ht="21" customHeight="1"/>
    <x:row r="890" ht="21" customHeight="1"/>
    <x:row r="891" ht="21" customHeight="1"/>
    <x:row r="892" ht="21" customHeight="1"/>
    <x:row r="893" ht="21" customHeight="1"/>
    <x:row r="894" ht="21" customHeight="1"/>
    <x:row r="895" ht="21" customHeight="1"/>
    <x:row r="896" ht="21" customHeight="1"/>
    <x:row r="897" ht="21" customHeight="1"/>
    <x:row r="898" ht="21" customHeight="1"/>
    <x:row r="899" ht="21" customHeight="1"/>
    <x:row r="900" ht="21" customHeight="1"/>
    <x:row r="901" ht="21" customHeight="1"/>
    <x:row r="902" ht="21" customHeight="1"/>
    <x:row r="903" ht="21" customHeight="1"/>
    <x:row r="904" ht="21" customHeight="1"/>
    <x:row r="905" ht="21" customHeight="1"/>
    <x:row r="906" ht="21" customHeight="1"/>
    <x:row r="907" ht="21" customHeight="1"/>
    <x:row r="908" ht="21" customHeight="1"/>
    <x:row r="909" ht="21" customHeight="1"/>
    <x:row r="910" ht="21" customHeight="1"/>
    <x:row r="911" ht="21" customHeight="1"/>
    <x:row r="912" ht="21" customHeight="1"/>
    <x:row r="913" ht="21" customHeight="1"/>
    <x:row r="914" ht="21" customHeight="1"/>
    <x:row r="915" ht="21" customHeight="1"/>
    <x:row r="916" ht="21" customHeight="1"/>
    <x:row r="917" ht="21" customHeight="1"/>
    <x:row r="918" ht="21" customHeight="1"/>
    <x:row r="919" ht="21" customHeight="1"/>
    <x:row r="920" ht="21" customHeight="1"/>
    <x:row r="921" ht="21" customHeight="1"/>
    <x:row r="922" ht="21" customHeight="1"/>
    <x:row r="923" ht="21" customHeight="1"/>
    <x:row r="924" ht="21" customHeight="1"/>
    <x:row r="925" ht="21" customHeight="1"/>
    <x:row r="926" ht="21" customHeight="1"/>
    <x:row r="927" ht="21" customHeight="1"/>
    <x:row r="928" ht="21" customHeight="1"/>
    <x:row r="929" ht="21" customHeight="1"/>
    <x:row r="930" ht="21" customHeight="1"/>
    <x:row r="931" ht="21" customHeight="1"/>
    <x:row r="932" ht="21" customHeight="1"/>
    <x:row r="933" ht="21" customHeight="1"/>
    <x:row r="934" ht="21" customHeight="1"/>
    <x:row r="935" ht="21" customHeight="1"/>
    <x:row r="936" ht="21" customHeight="1"/>
    <x:row r="937" ht="21" customHeight="1"/>
    <x:row r="938" ht="21" customHeight="1"/>
    <x:row r="939" ht="21" customHeight="1"/>
    <x:row r="940" ht="21" customHeight="1"/>
    <x:row r="941" ht="21" customHeight="1"/>
    <x:row r="942" ht="21" customHeight="1"/>
    <x:row r="943" ht="21" customHeight="1"/>
    <x:row r="944" ht="21" customHeight="1"/>
    <x:row r="945" ht="21" customHeight="1"/>
    <x:row r="946" ht="21" customHeight="1"/>
    <x:row r="947" ht="21" customHeight="1"/>
    <x:row r="948" ht="21" customHeight="1"/>
    <x:row r="949" ht="21" customHeight="1"/>
    <x:row r="950" ht="21" customHeight="1"/>
    <x:row r="951" ht="21" customHeight="1"/>
    <x:row r="952" ht="21" customHeight="1"/>
    <x:row r="953" ht="21" customHeight="1"/>
    <x:row r="954" ht="21" customHeight="1"/>
    <x:row r="955" ht="21" customHeight="1"/>
    <x:row r="956" ht="21" customHeight="1"/>
    <x:row r="957" ht="21" customHeight="1"/>
    <x:row r="958" ht="21" customHeight="1"/>
    <x:row r="959" ht="21" customHeight="1"/>
    <x:row r="960" ht="21" customHeight="1"/>
    <x:row r="961" ht="21" customHeight="1"/>
    <x:row r="962" ht="21" customHeight="1"/>
    <x:row r="963" ht="21" customHeight="1"/>
    <x:row r="964" ht="21" customHeight="1"/>
    <x:row r="965" ht="21" customHeight="1"/>
    <x:row r="966" ht="21" customHeight="1"/>
    <x:row r="967" ht="21" customHeight="1"/>
    <x:row r="968" ht="21" customHeight="1"/>
    <x:row r="969" ht="21" customHeight="1"/>
    <x:row r="970" ht="21" customHeight="1"/>
    <x:row r="971" ht="21" customHeight="1"/>
    <x:row r="972" ht="21" customHeight="1"/>
    <x:row r="973" ht="21" customHeight="1"/>
    <x:row r="974" ht="21" customHeight="1"/>
    <x:row r="975" ht="21" customHeight="1"/>
    <x:row r="976" ht="21" customHeight="1"/>
    <x:row r="977" ht="21" customHeight="1"/>
    <x:row r="978" ht="21" customHeight="1"/>
    <x:row r="979" ht="21" customHeight="1"/>
    <x:row r="980" ht="21" customHeight="1"/>
    <x:row r="981" ht="21" customHeight="1"/>
    <x:row r="982" ht="21" customHeight="1"/>
    <x:row r="983" ht="21" customHeight="1"/>
    <x:row r="984" ht="21" customHeight="1"/>
    <x:row r="985" ht="21" customHeight="1"/>
    <x:row r="986" ht="21" customHeight="1"/>
    <x:row r="987" ht="21" customHeight="1"/>
    <x:row r="988" ht="21" customHeight="1"/>
    <x:row r="989" ht="21" customHeight="1"/>
    <x:row r="990" ht="21" customHeight="1"/>
    <x:row r="991" ht="21" customHeight="1"/>
    <x:row r="992" ht="21" customHeight="1"/>
    <x:row r="993" ht="21" customHeight="1"/>
    <x:row r="994" ht="21" customHeight="1"/>
    <x:row r="995" ht="21" customHeight="1"/>
    <x:row r="996" ht="21" customHeight="1"/>
    <x:row r="997" ht="21" customHeight="1"/>
    <x:row r="998" ht="21" customHeight="1"/>
    <x:row r="999" ht="21" customHeight="1"/>
    <x:row r="1000" ht="21" customHeight="1"/>
  </x:sheetData>
  <x:mergeCells>
    <x:mergeCell ref="A1:G1"/>
    <x:mergeCell ref="A3:H3"/>
    <x:mergeCell ref="A11:H11"/>
  </x:mergeCells>
  <x:hyperlinks>
    <x:hyperlink xmlns:r="http://schemas.openxmlformats.org/officeDocument/2006/relationships" ref="G4" r:id="Re80142b890094b56"/>
    <x:hyperlink xmlns:r="http://schemas.openxmlformats.org/officeDocument/2006/relationships" ref="G5" r:id="Rc68b336841d14f22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2.6640625" defaultRowHeight="14"/>
  <x:cols>
    <x:col min="1" max="1" width="4.1640625" customWidth="1"/>
    <x:col min="2" max="2" width="11.5" customWidth="1"/>
    <x:col min="3" max="3" width="15.6640625" customWidth="1"/>
    <x:col min="4" max="4" width="13.83203125" customWidth="1"/>
    <x:col min="5" max="5" width="16.83203125" customWidth="1"/>
    <x:col min="6" max="6" width="49.6640625" customWidth="1"/>
    <x:col min="7" max="7" width="10" customWidth="1"/>
    <x:col min="8" max="8" width="11.6640625" customWidth="1"/>
    <x:col min="9" max="9" width="15.1640625" customWidth="1"/>
    <x:col min="10" max="10" width="19.5" customWidth="1"/>
    <x:col min="11" max="11" width="22" customWidth="1"/>
    <x:col min="12" max="26" width="8.83203125" customWidth="1"/>
  </x:cols>
  <x:sheetData>
    <x:row r="1" ht="17" customHeight="1">
      <x:c r="A1" s="99"/>
      <x:c r="B1" s="100"/>
      <x:c r="C1" s="101"/>
      <x:c r="D1" s="102"/>
      <x:c r="E1" s="103"/>
      <x:c r="F1" s="104"/>
      <x:c r="G1" s="105"/>
      <x:c r="H1" s="106"/>
      <x:c r="I1" s="106"/>
      <x:c r="J1" s="107"/>
      <x:c r="K1" s="108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7" customHeight="1">
      <x:c r="A2" s="109"/>
      <x:c r="B2" s="10"/>
      <x:c r="C2" s="110"/>
      <x:c r="D2" s="111"/>
      <x:c r="E2" s="112"/>
      <x:c r="F2" s="113" t="s">
        <x:v>363</x:v>
      </x:c>
      <x:c r="G2" s="10"/>
      <x:c r="H2" s="114"/>
      <x:c r="I2" s="114"/>
      <x:c r="J2" s="115"/>
      <x:c r="K2" s="116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39" customHeight="1">
      <x:c r="A3" s="109"/>
      <x:c r="B3" s="10"/>
      <x:c r="C3" s="110"/>
      <x:c r="D3" s="111"/>
      <x:c r="E3" s="112"/>
      <x:c r="F3" s="293" t="s">
        <x:v>364</x:v>
      </x:c>
      <x:c r="G3" s="294"/>
      <x:c r="H3" s="295"/>
      <x:c r="I3" s="296" t="s">
        <x:v>365</x:v>
      </x:c>
      <x:c r="J3" s="244"/>
      <x:c r="K3" s="117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7" customHeight="1">
      <x:c r="A4" s="109"/>
      <x:c r="B4" s="10"/>
      <x:c r="C4" s="110"/>
      <x:c r="D4" s="111"/>
      <x:c r="E4" s="118"/>
      <x:c r="F4" s="119"/>
      <x:c r="G4" s="120"/>
      <x:c r="H4" s="121"/>
      <x:c r="I4" s="122" t="s">
        <x:v>366</x:v>
      </x:c>
      <x:c r="J4" s="123" t="s">
        <x:v>367</x:v>
      </x:c>
      <x:c r="K4" s="124" t="n">
        <x:f t="shared" ref="K4:K9" si="0">COUNTIF(G13:G200,J4)</x:f>
        <x:v>5</x:v>
      </x:c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7" customHeight="1">
      <x:c r="A5" s="109"/>
      <x:c r="B5" s="10"/>
      <x:c r="C5" s="110"/>
      <x:c r="D5" s="111"/>
      <x:c r="E5" s="118"/>
      <x:c r="F5" s="125" t="s">
        <x:v>368</x:v>
      </x:c>
      <x:c r="G5" s="126"/>
      <x:c r="H5" s="127"/>
      <x:c r="I5" s="122" t="s">
        <x:v>369</x:v>
      </x:c>
      <x:c r="J5" s="128" t="s">
        <x:v>370</x:v>
      </x:c>
      <x:c r="K5" s="124">
        <x:f t="shared" si="0"/>
        <x:v>2</x:v>
      </x:c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17" customHeight="1">
      <x:c r="A6" s="109"/>
      <x:c r="B6" s="10"/>
      <x:c r="C6" s="110"/>
      <x:c r="D6" s="111"/>
      <x:c r="E6" s="119"/>
      <x:c r="F6" s="125" t="s">
        <x:v>371</x:v>
      </x:c>
      <x:c r="G6" s="126"/>
      <x:c r="H6" s="127"/>
      <x:c r="I6" s="122" t="s">
        <x:v>372</x:v>
      </x:c>
      <x:c r="J6" s="129" t="s">
        <x:v>373</x:v>
      </x:c>
      <x:c r="K6" s="124">
        <x:f t="shared" si="0"/>
        <x:v>0</x:v>
      </x:c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7" customHeight="1">
      <x:c r="A7" s="109"/>
      <x:c r="B7" s="10"/>
      <x:c r="C7" s="110"/>
      <x:c r="D7" s="111"/>
      <x:c r="E7" s="119"/>
      <x:c r="F7" s="125" t="s">
        <x:v>374</x:v>
      </x:c>
      <x:c r="G7" s="126"/>
      <x:c r="H7" s="127"/>
      <x:c r="I7" s="122" t="s">
        <x:v>375</x:v>
      </x:c>
      <x:c r="J7" s="130" t="s">
        <x:v>376</x:v>
      </x:c>
      <x:c r="K7" s="124">
        <x:f t="shared" si="0"/>
        <x:v>0</x:v>
      </x:c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7" customHeight="1">
      <x:c r="A8" s="109"/>
      <x:c r="B8" s="10"/>
      <x:c r="C8" s="110"/>
      <x:c r="D8" s="111"/>
      <x:c r="E8" s="119"/>
      <x:c r="F8" s="118" t="str">
        <x:v>Updated on: 07/07/2026
Ngày cập nhật</x:v>
      </x:c>
      <x:c r="G8" s="131"/>
      <x:c r="H8" s="127"/>
      <x:c r="I8" s="122" t="s">
        <x:v>377</x:v>
      </x:c>
      <x:c r="J8" s="132" t="s">
        <x:v>378</x:v>
      </x:c>
      <x:c r="K8" s="124">
        <x:f t="shared" si="0"/>
        <x:v>0</x:v>
      </x:c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7" customHeight="1">
      <x:c r="A9" s="133"/>
      <x:c r="B9" s="134"/>
      <x:c r="C9" s="135"/>
      <x:c r="D9" s="136"/>
      <x:c r="E9" s="137"/>
      <x:c r="F9" s="138"/>
      <x:c r="G9" s="131"/>
      <x:c r="H9" s="127"/>
      <x:c r="I9" s="122" t="s">
        <x:v>379</x:v>
      </x:c>
      <x:c r="J9" s="139" t="s">
        <x:v>380</x:v>
      </x:c>
      <x:c r="K9" s="140">
        <x:f t="shared" si="0"/>
        <x:v>0</x:v>
      </x:c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7" customHeight="1">
      <x:c r="A10" s="10"/>
      <x:c r="B10" s="10"/>
      <x:c r="C10" s="110"/>
      <x:c r="D10" s="111"/>
      <x:c r="E10" s="119"/>
      <x:c r="F10" s="118"/>
      <x:c r="G10" s="141"/>
      <x:c r="H10" s="127"/>
      <x:c r="I10" s="127"/>
      <x:c r="J10" s="142"/>
      <x:c r="K10" s="143" t="n">
        <x:f>SUM(K4:K9)</x:f>
        <x:v>7</x:v>
      </x:c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17" customHeight="1">
      <x:c r="A11" s="134"/>
      <x:c r="B11" s="134"/>
      <x:c r="C11" s="135"/>
      <x:c r="D11" s="136"/>
      <x:c r="E11" s="137"/>
      <x:c r="F11" s="138"/>
      <x:c r="G11" s="144"/>
      <x:c r="H11" s="145"/>
      <x:c r="I11" s="145"/>
      <x:c r="J11" s="146"/>
      <x:c r="K11" s="147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17" customHeight="1">
      <x:c r="A12" s="148" t="s">
        <x:v>381</x:v>
      </x:c>
      <x:c r="B12" s="149" t="s">
        <x:v>382</x:v>
      </x:c>
      <x:c r="C12" s="149" t="s">
        <x:v>383</x:v>
      </x:c>
      <x:c r="D12" s="148" t="s">
        <x:v>384</x:v>
      </x:c>
      <x:c r="E12" s="149" t="s">
        <x:v>385</x:v>
      </x:c>
      <x:c r="F12" s="149" t="s">
        <x:v>386</x:v>
      </x:c>
      <x:c r="G12" s="149" t="s">
        <x:v>387</x:v>
      </x:c>
      <x:c r="H12" s="150" t="s">
        <x:v>388</x:v>
      </x:c>
      <x:c r="I12" s="151" t="s">
        <x:v>389</x:v>
      </x:c>
      <x:c r="J12" s="149" t="s">
        <x:v>390</x:v>
      </x:c>
      <x:c r="K12" s="152" t="s">
        <x:v>391</x:v>
      </x:c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17" customHeight="1">
      <x:c r="A13" s="222">
        <x:v>1</x:v>
      </x:c>
      <x:c r="B13" s="223" t="n">
        <x:v>46210</x:v>
      </x:c>
      <x:c r="C13" s="153" t="s">
        <x:v>392</x:v>
      </x:c>
      <x:c r="D13" s="153" t="s">
        <x:v>393</x:v>
      </x:c>
      <x:c r="E13" s="154" t="s">
        <x:v>394</x:v>
      </x:c>
      <x:c r="F13" s="154" t="s">
        <x:v>395</x:v>
      </x:c>
      <x:c r="G13" s="155" t="s">
        <x:v>373</x:v>
      </x:c>
      <x:c r="H13" s="223" t="n">
        <x:v>46210</x:v>
      </x:c>
      <x:c r="I13" s="223"/>
      <x:c r="J13" s="154" t="s">
        <x:v>93</x:v>
      </x:c>
      <x:c r="K13" s="154" t="s">
        <x:v>396</x:v>
      </x:c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7" customHeight="1">
      <x:c r="A14" s="222" t="n">
        <x:f t="shared" ref="A14:A19" si="1">A13+1</x:f>
        <x:v>2</x:v>
      </x:c>
      <x:c r="B14" s="223" t="n">
        <x:v>46210</x:v>
      </x:c>
      <x:c r="C14" s="153" t="s">
        <x:v>392</x:v>
      </x:c>
      <x:c r="D14" s="153" t="s">
        <x:v>397</x:v>
      </x:c>
      <x:c r="E14" s="154" t="s">
        <x:v>398</x:v>
      </x:c>
      <x:c r="F14" s="156" t="s">
        <x:v>399</x:v>
      </x:c>
      <x:c r="G14" s="155" t="s">
        <x:v>370</x:v>
      </x:c>
      <x:c r="H14" s="223" t="n">
        <x:v>46211</x:v>
      </x:c>
      <x:c r="I14" s="224"/>
      <x:c r="J14" s="154" t="s">
        <x:v>96</x:v>
      </x:c>
      <x:c r="K14" s="154" t="s">
        <x:v>400</x:v>
      </x:c>
      <x:c r="L14" s="109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7" customHeight="1">
      <x:c r="A15" s="222">
        <x:f t="shared" si="1"/>
        <x:v>3</x:v>
      </x:c>
      <x:c r="B15" s="223" t="n">
        <x:v>46210</x:v>
      </x:c>
      <x:c r="C15" s="153" t="s">
        <x:v>392</x:v>
      </x:c>
      <x:c r="D15" s="153" t="s">
        <x:v>401</x:v>
      </x:c>
      <x:c r="E15" s="154" t="s">
        <x:v>402</x:v>
      </x:c>
      <x:c r="F15" s="156" t="s">
        <x:v>403</x:v>
      </x:c>
      <x:c r="G15" s="155" t="s">
        <x:v>370</x:v>
      </x:c>
      <x:c r="H15" s="223" t="n">
        <x:v>46211</x:v>
      </x:c>
      <x:c r="I15" s="223"/>
      <x:c r="J15" s="154" t="s">
        <x:v>99</x:v>
      </x:c>
      <x:c r="K15" s="154" t="s">
        <x:v>404</x:v>
      </x:c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7" customHeight="1">
      <x:c r="A16" s="222">
        <x:f t="shared" si="1"/>
        <x:v>4</x:v>
      </x:c>
      <x:c r="B16" s="223" t="n">
        <x:v>46210</x:v>
      </x:c>
      <x:c r="C16" s="153" t="s">
        <x:v>392</x:v>
      </x:c>
      <x:c r="D16" s="153" t="s">
        <x:v>405</x:v>
      </x:c>
      <x:c r="E16" s="154" t="s">
        <x:v>406</x:v>
      </x:c>
      <x:c r="F16" s="157" t="s">
        <x:v>407</x:v>
      </x:c>
      <x:c r="G16" s="155" t="s">
        <x:v>367</x:v>
      </x:c>
      <x:c r="H16" s="223" t="n">
        <x:v>46212</x:v>
      </x:c>
      <x:c r="I16" s="223"/>
      <x:c r="J16" s="154" t="s">
        <x:v>136</x:v>
      </x:c>
      <x:c r="K16" s="154" t="s">
        <x:v>408</x:v>
      </x:c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7" customHeight="1">
      <x:c r="A17" s="222">
        <x:f t="shared" si="1"/>
        <x:v>5</x:v>
      </x:c>
      <x:c r="B17" s="223" t="n">
        <x:v>46210</x:v>
      </x:c>
      <x:c r="C17" s="153" t="s">
        <x:v>409</x:v>
      </x:c>
      <x:c r="D17" s="153" t="s">
        <x:v>410</x:v>
      </x:c>
      <x:c r="E17" s="154" t="s">
        <x:v>411</x:v>
      </x:c>
      <x:c r="F17" s="157" t="s">
        <x:v>412</x:v>
      </x:c>
      <x:c r="G17" s="153" t="s">
        <x:v>367</x:v>
      </x:c>
      <x:c r="H17" s="223" t="n">
        <x:v>46211</x:v>
      </x:c>
      <x:c r="I17" s="223"/>
      <x:c r="J17" s="154" t="s">
        <x:v>413</x:v>
      </x:c>
      <x:c r="K17" s="154" t="s">
        <x:v>414</x:v>
      </x:c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7" customHeight="1">
      <x:c r="A18" s="222">
        <x:f t="shared" si="1"/>
        <x:v>6</x:v>
      </x:c>
      <x:c r="B18" s="223" t="n">
        <x:v>46210</x:v>
      </x:c>
      <x:c r="C18" s="153" t="s">
        <x:v>392</x:v>
      </x:c>
      <x:c r="D18" s="153" t="s">
        <x:v>415</x:v>
      </x:c>
      <x:c r="E18" s="154" t="s">
        <x:v>416</x:v>
      </x:c>
      <x:c r="F18" s="157" t="s">
        <x:v>417</x:v>
      </x:c>
      <x:c r="G18" s="153" t="s">
        <x:v>367</x:v>
      </x:c>
      <x:c r="H18" s="223" t="n">
        <x:v>46212</x:v>
      </x:c>
      <x:c r="I18" s="223"/>
      <x:c r="J18" s="154" t="s">
        <x:v>327</x:v>
      </x:c>
      <x:c r="K18" s="154" t="s">
        <x:v>418</x:v>
      </x:c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7" customHeight="1">
      <x:c r="A19" s="222">
        <x:f t="shared" si="1"/>
        <x:v>7</x:v>
      </x:c>
      <x:c r="B19" s="223" t="n">
        <x:v>46210</x:v>
      </x:c>
      <x:c r="C19" s="153" t="s">
        <x:v>392</x:v>
      </x:c>
      <x:c r="D19" s="153" t="s">
        <x:v>419</x:v>
      </x:c>
      <x:c r="E19" s="154" t="s">
        <x:v>420</x:v>
      </x:c>
      <x:c r="F19" s="158" t="s">
        <x:v>421</x:v>
      </x:c>
      <x:c r="G19" s="153" t="s">
        <x:v>367</x:v>
      </x:c>
      <x:c r="H19" s="223" t="n">
        <x:v>46220</x:v>
      </x:c>
      <x:c r="I19" s="223"/>
      <x:c r="J19" s="154" t="s">
        <x:v>422</x:v>
      </x:c>
      <x:c r="K19" s="159" t="s">
        <x:v>423</x:v>
      </x:c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7" customHeight="1">
      <x:c r="A20" s="225">
        <x:v>8</x:v>
      </x:c>
      <x:c r="B20" s="223" t="n">
        <x:v>46210</x:v>
      </x:c>
      <x:c r="C20" s="153" t="s">
        <x:v>392</x:v>
      </x:c>
      <x:c r="D20" s="153" t="s">
        <x:v>424</x:v>
      </x:c>
      <x:c r="E20" s="154" t="s">
        <x:v>425</x:v>
      </x:c>
      <x:c r="F20" s="157" t="s">
        <x:v>426</x:v>
      </x:c>
      <x:c r="G20" s="153" t="s">
        <x:v>367</x:v>
      </x:c>
      <x:c r="H20" s="223" t="n">
        <x:v>46221</x:v>
      </x:c>
      <x:c r="I20" s="223"/>
      <x:c r="J20" s="154" t="s">
        <x:v>427</x:v>
      </x:c>
      <x:c r="K20" s="160" t="s">
        <x:v>428</x:v>
      </x:c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7" customHeight="1">
      <x:c r="A21" s="225"/>
      <x:c r="B21" s="162"/>
      <x:c r="C21" s="153"/>
      <x:c r="D21" s="153"/>
      <x:c r="E21" s="154"/>
      <x:c r="F21" s="161"/>
      <x:c r="G21" s="153"/>
      <x:c r="H21" s="162"/>
      <x:c r="I21" s="226"/>
      <x:c r="J21" s="157"/>
      <x:c r="K21" s="157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7" customHeight="1">
      <x:c r="A22" s="225"/>
      <x:c r="B22" s="162"/>
      <x:c r="C22" s="153"/>
      <x:c r="D22" s="153"/>
      <x:c r="E22" s="154"/>
      <x:c r="F22" s="161"/>
      <x:c r="G22" s="153"/>
      <x:c r="H22" s="162"/>
      <x:c r="I22" s="226"/>
      <x:c r="J22" s="157"/>
      <x:c r="K22" s="157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7" customHeight="1">
      <x:c r="A23" s="225"/>
      <x:c r="B23" s="162"/>
      <x:c r="C23" s="153"/>
      <x:c r="D23" s="153"/>
      <x:c r="E23" s="154"/>
      <x:c r="F23" s="161"/>
      <x:c r="G23" s="153"/>
      <x:c r="H23" s="162"/>
      <x:c r="I23" s="226"/>
      <x:c r="J23" s="157"/>
      <x:c r="K23" s="157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7" customHeight="1">
      <x:c r="A24" s="225"/>
      <x:c r="B24" s="162"/>
      <x:c r="C24" s="153"/>
      <x:c r="D24" s="153"/>
      <x:c r="E24" s="154"/>
      <x:c r="F24" s="161"/>
      <x:c r="G24" s="153"/>
      <x:c r="H24" s="162"/>
      <x:c r="I24" s="163"/>
      <x:c r="J24" s="157"/>
      <x:c r="K24" s="154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7" customHeight="1">
      <x:c r="A25" s="225"/>
      <x:c r="B25" s="162"/>
      <x:c r="C25" s="153"/>
      <x:c r="D25" s="153"/>
      <x:c r="E25" s="154"/>
      <x:c r="F25" s="159"/>
      <x:c r="G25" s="153"/>
      <x:c r="H25" s="162"/>
      <x:c r="I25" s="227"/>
      <x:c r="J25" s="154"/>
      <x:c r="K25" s="16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7" customHeight="1">
      <x:c r="A26" s="225"/>
      <x:c r="B26" s="162"/>
      <x:c r="C26" s="153"/>
      <x:c r="D26" s="153"/>
      <x:c r="E26" s="154"/>
      <x:c r="F26" s="157"/>
      <x:c r="G26" s="153"/>
      <x:c r="H26" s="162"/>
      <x:c r="I26" s="226"/>
      <x:c r="J26" s="164"/>
      <x:c r="K26" s="154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7" customHeight="1">
      <x:c r="A27" s="225"/>
      <x:c r="B27" s="162"/>
      <x:c r="C27" s="153"/>
      <x:c r="D27" s="153"/>
      <x:c r="E27" s="154"/>
      <x:c r="F27" s="165"/>
      <x:c r="G27" s="153"/>
      <x:c r="H27" s="162"/>
      <x:c r="I27" s="226"/>
      <x:c r="J27" s="154"/>
      <x:c r="K27" s="16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7" customHeight="1">
      <x:c r="A28" s="225"/>
      <x:c r="B28" s="162"/>
      <x:c r="C28" s="153"/>
      <x:c r="D28" s="153"/>
      <x:c r="E28" s="154"/>
      <x:c r="F28" s="159"/>
      <x:c r="G28" s="153"/>
      <x:c r="H28" s="162"/>
      <x:c r="I28" s="226"/>
      <x:c r="J28" s="154"/>
      <x:c r="K28" s="16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7" customHeight="1">
      <x:c r="A29" s="225"/>
      <x:c r="B29" s="162"/>
      <x:c r="C29" s="153"/>
      <x:c r="D29" s="153"/>
      <x:c r="E29" s="154"/>
      <x:c r="F29" s="157"/>
      <x:c r="G29" s="153"/>
      <x:c r="H29" s="162"/>
      <x:c r="I29" s="227"/>
      <x:c r="J29" s="154"/>
      <x:c r="K29" s="154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7" customHeight="1">
      <x:c r="A30" s="228"/>
      <x:c r="B30" s="166"/>
      <x:c r="C30" s="110"/>
      <x:c r="D30" s="228"/>
      <x:c r="E30" s="166"/>
      <x:c r="F30" s="166"/>
      <x:c r="G30" s="166"/>
      <x:c r="H30" s="166"/>
      <x:c r="I30" s="166"/>
      <x:c r="J30" s="229"/>
      <x:c r="K30" s="166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7" customHeight="1"/>
    <x:row r="32" ht="17" customHeight="1"/>
    <x:row r="33" ht="17" customHeight="1"/>
    <x:row r="34" ht="17" customHeight="1"/>
    <x:row r="35" ht="17" customHeight="1"/>
    <x:row r="36" ht="17" customHeight="1"/>
    <x:row r="37" ht="17" customHeight="1"/>
    <x:row r="38" ht="17" customHeight="1"/>
    <x:row r="39" ht="17" customHeight="1"/>
    <x:row r="40" ht="17" customHeight="1"/>
    <x:row r="41" ht="17" customHeight="1"/>
    <x:row r="42" ht="17" customHeight="1"/>
    <x:row r="43" ht="17" customHeight="1"/>
    <x:row r="44" ht="17" customHeight="1"/>
    <x:row r="45" ht="17" customHeight="1"/>
    <x:row r="46" ht="17" customHeight="1"/>
    <x:row r="47" ht="17" customHeight="1"/>
    <x:row r="48" ht="17" customHeight="1"/>
    <x:row r="49" ht="17" customHeight="1"/>
    <x:row r="50" ht="17" customHeight="1"/>
    <x:row r="51" ht="17" customHeight="1"/>
    <x:row r="52" ht="17" customHeight="1"/>
    <x:row r="53" ht="17" customHeight="1"/>
    <x:row r="54" ht="17" customHeight="1"/>
    <x:row r="55" ht="17" customHeight="1"/>
    <x:row r="56" ht="17" customHeight="1"/>
    <x:row r="57" ht="17" customHeight="1"/>
    <x:row r="58" ht="17" customHeight="1"/>
    <x:row r="59" ht="17" customHeight="1"/>
    <x:row r="60" ht="17" customHeight="1"/>
    <x:row r="61" ht="17" customHeight="1"/>
    <x:row r="62" ht="17" customHeight="1"/>
    <x:row r="63" ht="17" customHeight="1"/>
    <x:row r="64" ht="17" customHeight="1"/>
    <x:row r="65" ht="17" customHeight="1"/>
    <x:row r="66" ht="17" customHeight="1"/>
    <x:row r="67" ht="17" customHeight="1"/>
    <x:row r="68" ht="17" customHeight="1"/>
    <x:row r="69" ht="17" customHeight="1"/>
    <x:row r="70" ht="17" customHeight="1"/>
    <x:row r="71" ht="17" customHeight="1"/>
    <x:row r="72" ht="17" customHeight="1"/>
    <x:row r="73" ht="17" customHeight="1"/>
    <x:row r="74" ht="17" customHeight="1"/>
    <x:row r="75" ht="17" customHeight="1"/>
    <x:row r="76" ht="17" customHeight="1"/>
    <x:row r="77" ht="17" customHeight="1"/>
    <x:row r="78" ht="17" customHeight="1"/>
    <x:row r="79" ht="17" customHeight="1"/>
    <x:row r="80" ht="17" customHeight="1"/>
    <x:row r="81" ht="17" customHeight="1"/>
    <x:row r="82" ht="17" customHeight="1"/>
    <x:row r="83" ht="17" customHeight="1"/>
    <x:row r="84" ht="17" customHeight="1"/>
    <x:row r="85" ht="17" customHeight="1"/>
    <x:row r="86" ht="17" customHeight="1"/>
    <x:row r="87" ht="17" customHeight="1"/>
    <x:row r="88" ht="17" customHeight="1"/>
    <x:row r="89" ht="17" customHeight="1"/>
    <x:row r="90" ht="17" customHeight="1"/>
    <x:row r="91" ht="17" customHeight="1"/>
    <x:row r="92" ht="17" customHeight="1"/>
    <x:row r="93" ht="17" customHeight="1"/>
    <x:row r="94" ht="17" customHeight="1"/>
    <x:row r="95" ht="17" customHeight="1"/>
    <x:row r="96" ht="17" customHeight="1"/>
    <x:row r="97" ht="17" customHeight="1"/>
    <x:row r="98" ht="17" customHeight="1"/>
    <x:row r="99" ht="17" customHeight="1"/>
    <x:row r="100" ht="17" customHeight="1"/>
    <x:row r="101" ht="17" customHeight="1"/>
    <x:row r="102" ht="17" customHeight="1"/>
    <x:row r="103" ht="17" customHeight="1"/>
    <x:row r="104" ht="17" customHeight="1"/>
    <x:row r="105" ht="17" customHeight="1"/>
    <x:row r="106" ht="17" customHeight="1"/>
    <x:row r="107" ht="17" customHeight="1"/>
    <x:row r="108" ht="17" customHeight="1"/>
    <x:row r="109" ht="17" customHeight="1"/>
    <x:row r="110" ht="17" customHeight="1"/>
    <x:row r="111" ht="17" customHeight="1"/>
    <x:row r="112" ht="17" customHeight="1"/>
    <x:row r="113" ht="17" customHeight="1"/>
    <x:row r="114" ht="17" customHeight="1"/>
    <x:row r="115" ht="17" customHeight="1"/>
    <x:row r="116" ht="17" customHeight="1"/>
    <x:row r="117" ht="17" customHeight="1"/>
    <x:row r="118" ht="17" customHeight="1"/>
    <x:row r="119" ht="17" customHeight="1"/>
    <x:row r="120" ht="17" customHeight="1"/>
    <x:row r="121" ht="17" customHeight="1"/>
    <x:row r="122" ht="17" customHeight="1"/>
    <x:row r="123" ht="17" customHeight="1"/>
    <x:row r="124" ht="17" customHeight="1"/>
    <x:row r="125" ht="17" customHeight="1"/>
    <x:row r="126" ht="17" customHeight="1"/>
    <x:row r="127" ht="17" customHeight="1"/>
    <x:row r="128" ht="17" customHeight="1"/>
    <x:row r="129" ht="17" customHeight="1"/>
    <x:row r="130" ht="17" customHeight="1"/>
    <x:row r="131" ht="17" customHeight="1"/>
    <x:row r="132" ht="17" customHeight="1"/>
    <x:row r="133" ht="17" customHeight="1"/>
    <x:row r="134" ht="17" customHeight="1"/>
    <x:row r="135" ht="17" customHeight="1"/>
    <x:row r="136" ht="17" customHeight="1"/>
    <x:row r="137" ht="17" customHeight="1"/>
    <x:row r="138" ht="17" customHeight="1"/>
    <x:row r="139" ht="17" customHeight="1"/>
    <x:row r="140" ht="17" customHeight="1"/>
    <x:row r="141" ht="17" customHeight="1"/>
    <x:row r="142" ht="17" customHeight="1"/>
    <x:row r="143" ht="17" customHeight="1"/>
    <x:row r="144" ht="17" customHeight="1"/>
    <x:row r="145" ht="17" customHeight="1"/>
    <x:row r="146" ht="17" customHeight="1"/>
    <x:row r="147" ht="17" customHeight="1"/>
    <x:row r="148" ht="17" customHeight="1"/>
    <x:row r="149" ht="17" customHeight="1"/>
    <x:row r="150" ht="17" customHeight="1"/>
    <x:row r="151" ht="17" customHeight="1"/>
    <x:row r="152" ht="17" customHeight="1"/>
    <x:row r="153" ht="17" customHeight="1"/>
    <x:row r="154" ht="17" customHeight="1"/>
    <x:row r="155" ht="17" customHeight="1"/>
    <x:row r="156" ht="17" customHeight="1"/>
    <x:row r="157" ht="17" customHeight="1"/>
    <x:row r="158" ht="17" customHeight="1"/>
    <x:row r="159" ht="17" customHeight="1"/>
    <x:row r="160" ht="17" customHeight="1"/>
    <x:row r="161" ht="17" customHeight="1"/>
    <x:row r="162" ht="17" customHeight="1"/>
    <x:row r="163" ht="17" customHeight="1"/>
    <x:row r="164" ht="17" customHeight="1"/>
    <x:row r="165" ht="17" customHeight="1"/>
    <x:row r="166" ht="17" customHeight="1"/>
    <x:row r="167" ht="17" customHeight="1"/>
    <x:row r="168" ht="17" customHeight="1"/>
    <x:row r="169" ht="17" customHeight="1"/>
    <x:row r="170" ht="17" customHeight="1"/>
    <x:row r="171" ht="17" customHeight="1"/>
    <x:row r="172" ht="17" customHeight="1"/>
    <x:row r="173" ht="17" customHeight="1"/>
    <x:row r="174" ht="17" customHeight="1"/>
    <x:row r="175" ht="17" customHeight="1"/>
    <x:row r="176" ht="17" customHeight="1"/>
    <x:row r="177" ht="17" customHeight="1"/>
    <x:row r="178" ht="17" customHeight="1"/>
    <x:row r="179" ht="17" customHeight="1"/>
    <x:row r="180" ht="17" customHeight="1"/>
    <x:row r="181" ht="17" customHeight="1"/>
    <x:row r="182" ht="17" customHeight="1"/>
    <x:row r="183" ht="17" customHeight="1"/>
    <x:row r="184" ht="17" customHeight="1"/>
    <x:row r="185" ht="17" customHeight="1"/>
    <x:row r="186" ht="17" customHeight="1"/>
    <x:row r="187" ht="17" customHeight="1"/>
    <x:row r="188" ht="17" customHeight="1"/>
    <x:row r="189" ht="17" customHeight="1"/>
    <x:row r="190" ht="17" customHeight="1"/>
    <x:row r="191" ht="17" customHeight="1"/>
    <x:row r="192" ht="17" customHeight="1"/>
    <x:row r="193" ht="17" customHeight="1"/>
    <x:row r="194" ht="17" customHeight="1"/>
    <x:row r="195" ht="17" customHeight="1"/>
    <x:row r="196" ht="17" customHeight="1"/>
    <x:row r="197" ht="17" customHeight="1"/>
    <x:row r="198" ht="17" customHeight="1"/>
    <x:row r="199" ht="17" customHeight="1"/>
    <x:row r="200" ht="17" customHeight="1"/>
    <x:row r="201" ht="17" customHeight="1"/>
    <x:row r="202" ht="17" customHeight="1"/>
    <x:row r="203" ht="17" customHeight="1"/>
    <x:row r="204" ht="17" customHeight="1"/>
    <x:row r="205" ht="17" customHeight="1"/>
    <x:row r="206" ht="17" customHeight="1"/>
    <x:row r="207" ht="17" customHeight="1"/>
    <x:row r="208" ht="17" customHeight="1"/>
    <x:row r="209" ht="17" customHeight="1"/>
    <x:row r="210" ht="17" customHeight="1"/>
    <x:row r="211" ht="17" customHeight="1"/>
    <x:row r="212" ht="17" customHeight="1"/>
    <x:row r="213" ht="17" customHeight="1"/>
    <x:row r="214" ht="17" customHeight="1"/>
    <x:row r="215" ht="17" customHeight="1"/>
    <x:row r="216" ht="17" customHeight="1"/>
    <x:row r="217" ht="17" customHeight="1"/>
    <x:row r="218" ht="17" customHeight="1"/>
    <x:row r="219" ht="17" customHeight="1"/>
    <x:row r="220" ht="17" customHeight="1"/>
    <x:row r="221" ht="17" customHeight="1"/>
    <x:row r="222" ht="17" customHeight="1"/>
    <x:row r="223" ht="17" customHeight="1"/>
    <x:row r="224" ht="17" customHeight="1"/>
    <x:row r="225" ht="17" customHeight="1"/>
    <x:row r="226" ht="17" customHeight="1"/>
    <x:row r="227" ht="17" customHeight="1"/>
    <x:row r="228" ht="17" customHeight="1"/>
    <x:row r="229" ht="17" customHeight="1"/>
    <x:row r="230" ht="17" customHeight="1"/>
    <x:row r="231" ht="17" customHeight="1"/>
    <x:row r="232" ht="17" customHeight="1"/>
    <x:row r="233" ht="17" customHeight="1"/>
    <x:row r="234" ht="17" customHeight="1"/>
    <x:row r="235" ht="17" customHeight="1"/>
    <x:row r="236" ht="17" customHeight="1"/>
    <x:row r="237" ht="17" customHeight="1"/>
    <x:row r="238" ht="17" customHeight="1"/>
    <x:row r="239" ht="17" customHeight="1"/>
    <x:row r="240" ht="17" customHeight="1"/>
    <x:row r="241" ht="17" customHeight="1"/>
    <x:row r="242" ht="17" customHeight="1"/>
    <x:row r="243" ht="17" customHeight="1"/>
    <x:row r="244" ht="17" customHeight="1"/>
    <x:row r="245" ht="17" customHeight="1"/>
    <x:row r="246" ht="17" customHeight="1"/>
    <x:row r="247" ht="17" customHeight="1"/>
    <x:row r="248" ht="17" customHeight="1"/>
    <x:row r="249" ht="17" customHeight="1"/>
    <x:row r="250" ht="17" customHeight="1"/>
    <x:row r="251" ht="17" customHeight="1"/>
    <x:row r="252" ht="17" customHeight="1"/>
    <x:row r="253" ht="17" customHeight="1"/>
    <x:row r="254" ht="17" customHeight="1"/>
    <x:row r="255" ht="17" customHeight="1"/>
    <x:row r="256" ht="17" customHeight="1"/>
    <x:row r="257" ht="17" customHeight="1"/>
    <x:row r="258" ht="17" customHeight="1"/>
    <x:row r="259" ht="17" customHeight="1"/>
    <x:row r="260" ht="17" customHeight="1"/>
    <x:row r="261" ht="17" customHeight="1"/>
    <x:row r="262" ht="17" customHeight="1"/>
    <x:row r="263" ht="17" customHeight="1"/>
    <x:row r="264" ht="17" customHeight="1"/>
    <x:row r="265" ht="17" customHeight="1"/>
    <x:row r="266" ht="17" customHeight="1"/>
    <x:row r="267" ht="17" customHeight="1"/>
    <x:row r="268" ht="17" customHeight="1"/>
    <x:row r="269" ht="17" customHeight="1"/>
    <x:row r="270" ht="17" customHeight="1"/>
    <x:row r="271" ht="17" customHeight="1"/>
    <x:row r="272" ht="17" customHeight="1"/>
    <x:row r="273" ht="17" customHeight="1"/>
    <x:row r="274" ht="17" customHeight="1"/>
    <x:row r="275" ht="17" customHeight="1"/>
    <x:row r="276" ht="17" customHeight="1"/>
    <x:row r="277" ht="17" customHeight="1"/>
    <x:row r="278" ht="17" customHeight="1"/>
    <x:row r="279" ht="17" customHeight="1"/>
    <x:row r="280" ht="17" customHeight="1"/>
    <x:row r="281" ht="17" customHeight="1"/>
    <x:row r="282" ht="17" customHeight="1"/>
    <x:row r="283" ht="17" customHeight="1"/>
    <x:row r="284" ht="17" customHeight="1"/>
    <x:row r="285" ht="17" customHeight="1"/>
    <x:row r="286" ht="17" customHeight="1"/>
    <x:row r="287" ht="17" customHeight="1"/>
    <x:row r="288" ht="17" customHeight="1"/>
    <x:row r="289" ht="17" customHeight="1"/>
    <x:row r="290" ht="17" customHeight="1"/>
    <x:row r="291" ht="17" customHeight="1"/>
    <x:row r="292" ht="17" customHeight="1"/>
    <x:row r="293" ht="17" customHeight="1"/>
    <x:row r="294" ht="17" customHeight="1"/>
    <x:row r="295" ht="17" customHeight="1"/>
    <x:row r="296" ht="17" customHeight="1"/>
    <x:row r="297" ht="17" customHeight="1"/>
    <x:row r="298" ht="17" customHeight="1"/>
    <x:row r="299" ht="17" customHeight="1"/>
    <x:row r="300" ht="17" customHeight="1"/>
    <x:row r="301" ht="17" customHeight="1"/>
    <x:row r="302" ht="17" customHeight="1"/>
    <x:row r="303" ht="17" customHeight="1"/>
    <x:row r="304" ht="17" customHeight="1"/>
    <x:row r="305" ht="17" customHeight="1"/>
    <x:row r="306" ht="17" customHeight="1"/>
    <x:row r="307" ht="17" customHeight="1"/>
    <x:row r="308" ht="17" customHeight="1"/>
    <x:row r="309" ht="17" customHeight="1"/>
    <x:row r="310" ht="17" customHeight="1"/>
    <x:row r="311" ht="17" customHeight="1"/>
    <x:row r="312" ht="17" customHeight="1"/>
    <x:row r="313" ht="17" customHeight="1"/>
    <x:row r="314" ht="17" customHeight="1"/>
    <x:row r="315" ht="17" customHeight="1"/>
    <x:row r="316" ht="17" customHeight="1"/>
    <x:row r="317" ht="17" customHeight="1"/>
    <x:row r="318" ht="17" customHeight="1"/>
    <x:row r="319" ht="17" customHeight="1"/>
    <x:row r="320" ht="17" customHeight="1"/>
    <x:row r="321" ht="17" customHeight="1"/>
    <x:row r="322" ht="17" customHeight="1"/>
    <x:row r="323" ht="17" customHeight="1"/>
    <x:row r="324" ht="17" customHeight="1"/>
    <x:row r="325" ht="17" customHeight="1"/>
    <x:row r="326" ht="17" customHeight="1"/>
    <x:row r="327" ht="17" customHeight="1"/>
    <x:row r="328" ht="17" customHeight="1"/>
    <x:row r="329" ht="17" customHeight="1"/>
    <x:row r="330" ht="17" customHeight="1"/>
    <x:row r="331" ht="17" customHeight="1"/>
    <x:row r="332" ht="17" customHeight="1"/>
    <x:row r="333" ht="17" customHeight="1"/>
    <x:row r="334" ht="17" customHeight="1"/>
    <x:row r="335" ht="17" customHeight="1"/>
    <x:row r="336" ht="17" customHeight="1"/>
    <x:row r="337" ht="17" customHeight="1"/>
    <x:row r="338" ht="17" customHeight="1"/>
    <x:row r="339" ht="17" customHeight="1"/>
    <x:row r="340" ht="17" customHeight="1"/>
    <x:row r="341" ht="17" customHeight="1"/>
    <x:row r="342" ht="17" customHeight="1"/>
    <x:row r="343" ht="17" customHeight="1"/>
    <x:row r="344" ht="17" customHeight="1"/>
    <x:row r="345" ht="17" customHeight="1"/>
    <x:row r="346" ht="17" customHeight="1"/>
    <x:row r="347" ht="17" customHeight="1"/>
    <x:row r="348" ht="17" customHeight="1"/>
    <x:row r="349" ht="17" customHeight="1"/>
    <x:row r="350" ht="17" customHeight="1"/>
    <x:row r="351" ht="17" customHeight="1"/>
    <x:row r="352" ht="17" customHeight="1"/>
    <x:row r="353" ht="17" customHeight="1"/>
    <x:row r="354" ht="17" customHeight="1"/>
    <x:row r="355" ht="17" customHeight="1"/>
    <x:row r="356" ht="17" customHeight="1"/>
    <x:row r="357" ht="17" customHeight="1"/>
    <x:row r="358" ht="17" customHeight="1"/>
    <x:row r="359" ht="17" customHeight="1"/>
    <x:row r="360" ht="17" customHeight="1"/>
    <x:row r="361" ht="17" customHeight="1"/>
    <x:row r="362" ht="17" customHeight="1"/>
    <x:row r="363" ht="17" customHeight="1"/>
    <x:row r="364" ht="17" customHeight="1"/>
    <x:row r="365" ht="17" customHeight="1"/>
    <x:row r="366" ht="17" customHeight="1"/>
    <x:row r="367" ht="17" customHeight="1"/>
    <x:row r="368" ht="17" customHeight="1"/>
    <x:row r="369" ht="17" customHeight="1"/>
    <x:row r="370" ht="17" customHeight="1"/>
    <x:row r="371" ht="17" customHeight="1"/>
    <x:row r="372" ht="17" customHeight="1"/>
    <x:row r="373" ht="17" customHeight="1"/>
    <x:row r="374" ht="17" customHeight="1"/>
    <x:row r="375" ht="17" customHeight="1"/>
    <x:row r="376" ht="17" customHeight="1"/>
    <x:row r="377" ht="17" customHeight="1"/>
    <x:row r="378" ht="17" customHeight="1"/>
    <x:row r="379" ht="17" customHeight="1"/>
    <x:row r="380" ht="17" customHeight="1"/>
    <x:row r="381" ht="17" customHeight="1"/>
    <x:row r="382" ht="17" customHeight="1"/>
    <x:row r="383" ht="17" customHeight="1"/>
    <x:row r="384" ht="17" customHeight="1"/>
    <x:row r="385" ht="17" customHeight="1"/>
    <x:row r="386" ht="17" customHeight="1"/>
    <x:row r="387" ht="17" customHeight="1"/>
    <x:row r="388" ht="17" customHeight="1"/>
    <x:row r="389" ht="17" customHeight="1"/>
    <x:row r="390" ht="17" customHeight="1"/>
    <x:row r="391" ht="17" customHeight="1"/>
    <x:row r="392" ht="17" customHeight="1"/>
    <x:row r="393" ht="17" customHeight="1"/>
    <x:row r="394" ht="17" customHeight="1"/>
    <x:row r="395" ht="17" customHeight="1"/>
    <x:row r="396" ht="17" customHeight="1"/>
    <x:row r="397" ht="17" customHeight="1"/>
    <x:row r="398" ht="17" customHeight="1"/>
    <x:row r="399" ht="17" customHeight="1"/>
    <x:row r="400" ht="17" customHeight="1"/>
    <x:row r="401" ht="17" customHeight="1"/>
    <x:row r="402" ht="17" customHeight="1"/>
    <x:row r="403" ht="17" customHeight="1"/>
    <x:row r="404" ht="17" customHeight="1"/>
    <x:row r="405" ht="17" customHeight="1"/>
    <x:row r="406" ht="17" customHeight="1"/>
    <x:row r="407" ht="17" customHeight="1"/>
    <x:row r="408" ht="17" customHeight="1"/>
    <x:row r="409" ht="17" customHeight="1"/>
    <x:row r="410" ht="17" customHeight="1"/>
    <x:row r="411" ht="17" customHeight="1"/>
    <x:row r="412" ht="17" customHeight="1"/>
    <x:row r="413" ht="17" customHeight="1"/>
    <x:row r="414" ht="17" customHeight="1"/>
    <x:row r="415" ht="17" customHeight="1"/>
    <x:row r="416" ht="17" customHeight="1"/>
    <x:row r="417" ht="17" customHeight="1"/>
    <x:row r="418" ht="17" customHeight="1"/>
    <x:row r="419" ht="17" customHeight="1"/>
    <x:row r="420" ht="17" customHeight="1"/>
    <x:row r="421" ht="17" customHeight="1"/>
    <x:row r="422" ht="17" customHeight="1"/>
    <x:row r="423" ht="17" customHeight="1"/>
    <x:row r="424" ht="17" customHeight="1"/>
    <x:row r="425" ht="17" customHeight="1"/>
    <x:row r="426" ht="17" customHeight="1"/>
    <x:row r="427" ht="17" customHeight="1"/>
    <x:row r="428" ht="17" customHeight="1"/>
    <x:row r="429" ht="17" customHeight="1"/>
    <x:row r="430" ht="17" customHeight="1"/>
    <x:row r="431" ht="17" customHeight="1"/>
    <x:row r="432" ht="17" customHeight="1"/>
    <x:row r="433" ht="17" customHeight="1"/>
    <x:row r="434" ht="17" customHeight="1"/>
    <x:row r="435" ht="17" customHeight="1"/>
    <x:row r="436" ht="17" customHeight="1"/>
    <x:row r="437" ht="17" customHeight="1"/>
    <x:row r="438" ht="17" customHeight="1"/>
    <x:row r="439" ht="17" customHeight="1"/>
    <x:row r="440" ht="17" customHeight="1"/>
    <x:row r="441" ht="17" customHeight="1"/>
    <x:row r="442" ht="17" customHeight="1"/>
    <x:row r="443" ht="17" customHeight="1"/>
    <x:row r="444" ht="17" customHeight="1"/>
    <x:row r="445" ht="17" customHeight="1"/>
    <x:row r="446" ht="17" customHeight="1"/>
    <x:row r="447" ht="17" customHeight="1"/>
    <x:row r="448" ht="17" customHeight="1"/>
    <x:row r="449" ht="17" customHeight="1"/>
    <x:row r="450" ht="17" customHeight="1"/>
    <x:row r="451" ht="17" customHeight="1"/>
    <x:row r="452" ht="17" customHeight="1"/>
    <x:row r="453" ht="17" customHeight="1"/>
    <x:row r="454" ht="17" customHeight="1"/>
    <x:row r="455" ht="17" customHeight="1"/>
    <x:row r="456" ht="17" customHeight="1"/>
    <x:row r="457" ht="17" customHeight="1"/>
    <x:row r="458" ht="17" customHeight="1"/>
    <x:row r="459" ht="17" customHeight="1"/>
    <x:row r="460" ht="17" customHeight="1"/>
    <x:row r="461" ht="17" customHeight="1"/>
    <x:row r="462" ht="17" customHeight="1"/>
    <x:row r="463" ht="17" customHeight="1"/>
    <x:row r="464" ht="17" customHeight="1"/>
    <x:row r="465" ht="17" customHeight="1"/>
    <x:row r="466" ht="17" customHeight="1"/>
    <x:row r="467" ht="17" customHeight="1"/>
    <x:row r="468" ht="17" customHeight="1"/>
    <x:row r="469" ht="17" customHeight="1"/>
    <x:row r="470" ht="17" customHeight="1"/>
    <x:row r="471" ht="17" customHeight="1"/>
    <x:row r="472" ht="17" customHeight="1"/>
    <x:row r="473" ht="17" customHeight="1"/>
    <x:row r="474" ht="17" customHeight="1"/>
    <x:row r="475" ht="17" customHeight="1"/>
    <x:row r="476" ht="17" customHeight="1"/>
    <x:row r="477" ht="17" customHeight="1"/>
    <x:row r="478" ht="17" customHeight="1"/>
    <x:row r="479" ht="17" customHeight="1"/>
    <x:row r="480" ht="17" customHeight="1"/>
    <x:row r="481" ht="17" customHeight="1"/>
    <x:row r="482" ht="17" customHeight="1"/>
    <x:row r="483" ht="17" customHeight="1"/>
    <x:row r="484" ht="17" customHeight="1"/>
    <x:row r="485" ht="17" customHeight="1"/>
    <x:row r="486" ht="17" customHeight="1"/>
    <x:row r="487" ht="17" customHeight="1"/>
    <x:row r="488" ht="17" customHeight="1"/>
    <x:row r="489" ht="17" customHeight="1"/>
    <x:row r="490" ht="17" customHeight="1"/>
    <x:row r="491" ht="17" customHeight="1"/>
    <x:row r="492" ht="17" customHeight="1"/>
    <x:row r="493" ht="17" customHeight="1"/>
    <x:row r="494" ht="17" customHeight="1"/>
    <x:row r="495" ht="17" customHeight="1"/>
    <x:row r="496" ht="17" customHeight="1"/>
    <x:row r="497" ht="17" customHeight="1"/>
    <x:row r="498" ht="17" customHeight="1"/>
    <x:row r="499" ht="17" customHeight="1"/>
    <x:row r="500" ht="17" customHeight="1"/>
    <x:row r="501" ht="17" customHeight="1"/>
    <x:row r="502" ht="17" customHeight="1"/>
    <x:row r="503" ht="17" customHeight="1"/>
    <x:row r="504" ht="17" customHeight="1"/>
    <x:row r="505" ht="17" customHeight="1"/>
    <x:row r="506" ht="17" customHeight="1"/>
    <x:row r="507" ht="17" customHeight="1"/>
    <x:row r="508" ht="17" customHeight="1"/>
    <x:row r="509" ht="17" customHeight="1"/>
    <x:row r="510" ht="17" customHeight="1"/>
    <x:row r="511" ht="17" customHeight="1"/>
    <x:row r="512" ht="17" customHeight="1"/>
    <x:row r="513" ht="17" customHeight="1"/>
    <x:row r="514" ht="17" customHeight="1"/>
    <x:row r="515" ht="17" customHeight="1"/>
    <x:row r="516" ht="17" customHeight="1"/>
    <x:row r="517" ht="17" customHeight="1"/>
    <x:row r="518" ht="17" customHeight="1"/>
    <x:row r="519" ht="17" customHeight="1"/>
    <x:row r="520" ht="17" customHeight="1"/>
    <x:row r="521" ht="17" customHeight="1"/>
    <x:row r="522" ht="17" customHeight="1"/>
    <x:row r="523" ht="17" customHeight="1"/>
    <x:row r="524" ht="17" customHeight="1"/>
    <x:row r="525" ht="17" customHeight="1"/>
    <x:row r="526" ht="17" customHeight="1"/>
    <x:row r="527" ht="17" customHeight="1"/>
    <x:row r="528" ht="17" customHeight="1"/>
    <x:row r="529" ht="17" customHeight="1"/>
    <x:row r="530" ht="17" customHeight="1"/>
    <x:row r="531" ht="17" customHeight="1"/>
    <x:row r="532" ht="17" customHeight="1"/>
    <x:row r="533" ht="17" customHeight="1"/>
    <x:row r="534" ht="17" customHeight="1"/>
    <x:row r="535" ht="17" customHeight="1"/>
    <x:row r="536" ht="17" customHeight="1"/>
    <x:row r="537" ht="17" customHeight="1"/>
    <x:row r="538" ht="17" customHeight="1"/>
    <x:row r="539" ht="17" customHeight="1"/>
    <x:row r="540" ht="17" customHeight="1"/>
    <x:row r="541" ht="17" customHeight="1"/>
    <x:row r="542" ht="17" customHeight="1"/>
    <x:row r="543" ht="17" customHeight="1"/>
    <x:row r="544" ht="17" customHeight="1"/>
    <x:row r="545" ht="17" customHeight="1"/>
    <x:row r="546" ht="17" customHeight="1"/>
    <x:row r="547" ht="17" customHeight="1"/>
    <x:row r="548" ht="17" customHeight="1"/>
    <x:row r="549" ht="17" customHeight="1"/>
    <x:row r="550" ht="17" customHeight="1"/>
    <x:row r="551" ht="17" customHeight="1"/>
    <x:row r="552" ht="17" customHeight="1"/>
    <x:row r="553" ht="17" customHeight="1"/>
    <x:row r="554" ht="17" customHeight="1"/>
    <x:row r="555" ht="17" customHeight="1"/>
    <x:row r="556" ht="17" customHeight="1"/>
    <x:row r="557" ht="17" customHeight="1"/>
    <x:row r="558" ht="17" customHeight="1"/>
    <x:row r="559" ht="17" customHeight="1"/>
    <x:row r="560" ht="17" customHeight="1"/>
    <x:row r="561" ht="17" customHeight="1"/>
    <x:row r="562" ht="17" customHeight="1"/>
    <x:row r="563" ht="17" customHeight="1"/>
    <x:row r="564" ht="17" customHeight="1"/>
    <x:row r="565" ht="17" customHeight="1"/>
    <x:row r="566" ht="17" customHeight="1"/>
    <x:row r="567" ht="17" customHeight="1"/>
    <x:row r="568" ht="17" customHeight="1"/>
    <x:row r="569" ht="17" customHeight="1"/>
    <x:row r="570" ht="17" customHeight="1"/>
    <x:row r="571" ht="17" customHeight="1"/>
    <x:row r="572" ht="17" customHeight="1"/>
    <x:row r="573" ht="17" customHeight="1"/>
    <x:row r="574" ht="17" customHeight="1"/>
    <x:row r="575" ht="17" customHeight="1"/>
    <x:row r="576" ht="17" customHeight="1"/>
    <x:row r="577" ht="17" customHeight="1"/>
    <x:row r="578" ht="17" customHeight="1"/>
    <x:row r="579" ht="17" customHeight="1"/>
    <x:row r="580" ht="17" customHeight="1"/>
    <x:row r="581" ht="17" customHeight="1"/>
    <x:row r="582" ht="17" customHeight="1"/>
    <x:row r="583" ht="17" customHeight="1"/>
    <x:row r="584" ht="17" customHeight="1"/>
    <x:row r="585" ht="17" customHeight="1"/>
    <x:row r="586" ht="17" customHeight="1"/>
    <x:row r="587" ht="17" customHeight="1"/>
    <x:row r="588" ht="17" customHeight="1"/>
    <x:row r="589" ht="17" customHeight="1"/>
    <x:row r="590" ht="17" customHeight="1"/>
    <x:row r="591" ht="17" customHeight="1"/>
    <x:row r="592" ht="17" customHeight="1"/>
    <x:row r="593" ht="17" customHeight="1"/>
    <x:row r="594" ht="17" customHeight="1"/>
    <x:row r="595" ht="17" customHeight="1"/>
    <x:row r="596" ht="17" customHeight="1"/>
    <x:row r="597" ht="17" customHeight="1"/>
    <x:row r="598" ht="17" customHeight="1"/>
    <x:row r="599" ht="17" customHeight="1"/>
    <x:row r="600" ht="17" customHeight="1"/>
    <x:row r="601" ht="17" customHeight="1"/>
    <x:row r="602" ht="17" customHeight="1"/>
    <x:row r="603" ht="17" customHeight="1"/>
    <x:row r="604" ht="17" customHeight="1"/>
    <x:row r="605" ht="17" customHeight="1"/>
    <x:row r="606" ht="17" customHeight="1"/>
    <x:row r="607" ht="17" customHeight="1"/>
    <x:row r="608" ht="17" customHeight="1"/>
    <x:row r="609" ht="17" customHeight="1"/>
    <x:row r="610" ht="17" customHeight="1"/>
    <x:row r="611" ht="17" customHeight="1"/>
    <x:row r="612" ht="17" customHeight="1"/>
    <x:row r="613" ht="17" customHeight="1"/>
    <x:row r="614" ht="17" customHeight="1"/>
    <x:row r="615" ht="17" customHeight="1"/>
    <x:row r="616" ht="17" customHeight="1"/>
    <x:row r="617" ht="17" customHeight="1"/>
    <x:row r="618" ht="17" customHeight="1"/>
    <x:row r="619" ht="17" customHeight="1"/>
    <x:row r="620" ht="17" customHeight="1"/>
    <x:row r="621" ht="17" customHeight="1"/>
    <x:row r="622" ht="17" customHeight="1"/>
    <x:row r="623" ht="17" customHeight="1"/>
    <x:row r="624" ht="17" customHeight="1"/>
    <x:row r="625" ht="17" customHeight="1"/>
    <x:row r="626" ht="17" customHeight="1"/>
    <x:row r="627" ht="17" customHeight="1"/>
    <x:row r="628" ht="17" customHeight="1"/>
    <x:row r="629" ht="17" customHeight="1"/>
    <x:row r="630" ht="17" customHeight="1"/>
    <x:row r="631" ht="17" customHeight="1"/>
    <x:row r="632" ht="17" customHeight="1"/>
    <x:row r="633" ht="17" customHeight="1"/>
    <x:row r="634" ht="17" customHeight="1"/>
    <x:row r="635" ht="17" customHeight="1"/>
    <x:row r="636" ht="17" customHeight="1"/>
    <x:row r="637" ht="17" customHeight="1"/>
    <x:row r="638" ht="17" customHeight="1"/>
    <x:row r="639" ht="17" customHeight="1"/>
    <x:row r="640" ht="17" customHeight="1"/>
    <x:row r="641" ht="17" customHeight="1"/>
    <x:row r="642" ht="17" customHeight="1"/>
    <x:row r="643" ht="17" customHeight="1"/>
    <x:row r="644" ht="17" customHeight="1"/>
    <x:row r="645" ht="17" customHeight="1"/>
    <x:row r="646" ht="17" customHeight="1"/>
    <x:row r="647" ht="17" customHeight="1"/>
    <x:row r="648" ht="17" customHeight="1"/>
    <x:row r="649" ht="17" customHeight="1"/>
    <x:row r="650" ht="17" customHeight="1"/>
    <x:row r="651" ht="17" customHeight="1"/>
    <x:row r="652" ht="17" customHeight="1"/>
    <x:row r="653" ht="17" customHeight="1"/>
    <x:row r="654" ht="17" customHeight="1"/>
    <x:row r="655" ht="17" customHeight="1"/>
    <x:row r="656" ht="17" customHeight="1"/>
    <x:row r="657" ht="17" customHeight="1"/>
    <x:row r="658" ht="17" customHeight="1"/>
    <x:row r="659" ht="17" customHeight="1"/>
    <x:row r="660" ht="17" customHeight="1"/>
    <x:row r="661" ht="17" customHeight="1"/>
    <x:row r="662" ht="17" customHeight="1"/>
    <x:row r="663" ht="17" customHeight="1"/>
    <x:row r="664" ht="17" customHeight="1"/>
    <x:row r="665" ht="17" customHeight="1"/>
    <x:row r="666" ht="17" customHeight="1"/>
    <x:row r="667" ht="17" customHeight="1"/>
    <x:row r="668" ht="17" customHeight="1"/>
    <x:row r="669" ht="17" customHeight="1"/>
    <x:row r="670" ht="17" customHeight="1"/>
    <x:row r="671" ht="17" customHeight="1"/>
    <x:row r="672" ht="17" customHeight="1"/>
    <x:row r="673" ht="17" customHeight="1"/>
    <x:row r="674" ht="17" customHeight="1"/>
    <x:row r="675" ht="17" customHeight="1"/>
    <x:row r="676" ht="17" customHeight="1"/>
    <x:row r="677" ht="17" customHeight="1"/>
    <x:row r="678" ht="17" customHeight="1"/>
    <x:row r="679" ht="17" customHeight="1"/>
    <x:row r="680" ht="17" customHeight="1"/>
    <x:row r="681" ht="17" customHeight="1"/>
    <x:row r="682" ht="17" customHeight="1"/>
    <x:row r="683" ht="17" customHeight="1"/>
    <x:row r="684" ht="17" customHeight="1"/>
    <x:row r="685" ht="17" customHeight="1"/>
    <x:row r="686" ht="17" customHeight="1"/>
    <x:row r="687" ht="17" customHeight="1"/>
    <x:row r="688" ht="17" customHeight="1"/>
    <x:row r="689" ht="17" customHeight="1"/>
    <x:row r="690" ht="17" customHeight="1"/>
    <x:row r="691" ht="17" customHeight="1"/>
    <x:row r="692" ht="17" customHeight="1"/>
    <x:row r="693" ht="17" customHeight="1"/>
    <x:row r="694" ht="17" customHeight="1"/>
    <x:row r="695" ht="17" customHeight="1"/>
    <x:row r="696" ht="17" customHeight="1"/>
    <x:row r="697" ht="17" customHeight="1"/>
    <x:row r="698" ht="17" customHeight="1"/>
    <x:row r="699" ht="17" customHeight="1"/>
    <x:row r="700" ht="17" customHeight="1"/>
    <x:row r="701" ht="17" customHeight="1"/>
    <x:row r="702" ht="17" customHeight="1"/>
    <x:row r="703" ht="17" customHeight="1"/>
    <x:row r="704" ht="17" customHeight="1"/>
    <x:row r="705" ht="17" customHeight="1"/>
    <x:row r="706" ht="17" customHeight="1"/>
    <x:row r="707" ht="17" customHeight="1"/>
    <x:row r="708" ht="17" customHeight="1"/>
    <x:row r="709" ht="17" customHeight="1"/>
    <x:row r="710" ht="17" customHeight="1"/>
    <x:row r="711" ht="17" customHeight="1"/>
    <x:row r="712" ht="17" customHeight="1"/>
    <x:row r="713" ht="17" customHeight="1"/>
    <x:row r="714" ht="17" customHeight="1"/>
    <x:row r="715" ht="17" customHeight="1"/>
    <x:row r="716" ht="17" customHeight="1"/>
    <x:row r="717" ht="17" customHeight="1"/>
    <x:row r="718" ht="17" customHeight="1"/>
    <x:row r="719" ht="17" customHeight="1"/>
    <x:row r="720" ht="17" customHeight="1"/>
    <x:row r="721" ht="17" customHeight="1"/>
    <x:row r="722" ht="17" customHeight="1"/>
    <x:row r="723" ht="17" customHeight="1"/>
    <x:row r="724" ht="17" customHeight="1"/>
    <x:row r="725" ht="17" customHeight="1"/>
    <x:row r="726" ht="17" customHeight="1"/>
    <x:row r="727" ht="17" customHeight="1"/>
    <x:row r="728" ht="17" customHeight="1"/>
    <x:row r="729" ht="17" customHeight="1"/>
    <x:row r="730" ht="17" customHeight="1"/>
    <x:row r="731" ht="17" customHeight="1"/>
    <x:row r="732" ht="17" customHeight="1"/>
    <x:row r="733" ht="17" customHeight="1"/>
    <x:row r="734" ht="17" customHeight="1"/>
    <x:row r="735" ht="17" customHeight="1"/>
    <x:row r="736" ht="17" customHeight="1"/>
    <x:row r="737" ht="17" customHeight="1"/>
    <x:row r="738" ht="17" customHeight="1"/>
    <x:row r="739" ht="17" customHeight="1"/>
    <x:row r="740" ht="17" customHeight="1"/>
    <x:row r="741" ht="17" customHeight="1"/>
    <x:row r="742" ht="17" customHeight="1"/>
    <x:row r="743" ht="17" customHeight="1"/>
    <x:row r="744" ht="17" customHeight="1"/>
    <x:row r="745" ht="17" customHeight="1"/>
    <x:row r="746" ht="17" customHeight="1"/>
    <x:row r="747" ht="17" customHeight="1"/>
    <x:row r="748" ht="17" customHeight="1"/>
    <x:row r="749" ht="17" customHeight="1"/>
    <x:row r="750" ht="17" customHeight="1"/>
    <x:row r="751" ht="17" customHeight="1"/>
    <x:row r="752" ht="17" customHeight="1"/>
    <x:row r="753" ht="17" customHeight="1"/>
    <x:row r="754" ht="17" customHeight="1"/>
    <x:row r="755" ht="17" customHeight="1"/>
    <x:row r="756" ht="17" customHeight="1"/>
    <x:row r="757" ht="17" customHeight="1"/>
    <x:row r="758" ht="17" customHeight="1"/>
    <x:row r="759" ht="17" customHeight="1"/>
    <x:row r="760" ht="17" customHeight="1"/>
    <x:row r="761" ht="17" customHeight="1"/>
    <x:row r="762" ht="17" customHeight="1"/>
    <x:row r="763" ht="17" customHeight="1"/>
    <x:row r="764" ht="17" customHeight="1"/>
    <x:row r="765" ht="17" customHeight="1"/>
    <x:row r="766" ht="17" customHeight="1"/>
    <x:row r="767" ht="17" customHeight="1"/>
    <x:row r="768" ht="17" customHeight="1"/>
    <x:row r="769" ht="17" customHeight="1"/>
    <x:row r="770" ht="17" customHeight="1"/>
    <x:row r="771" ht="17" customHeight="1"/>
    <x:row r="772" ht="17" customHeight="1"/>
    <x:row r="773" ht="17" customHeight="1"/>
    <x:row r="774" ht="17" customHeight="1"/>
    <x:row r="775" ht="17" customHeight="1"/>
    <x:row r="776" ht="17" customHeight="1"/>
    <x:row r="777" ht="17" customHeight="1"/>
    <x:row r="778" ht="17" customHeight="1"/>
    <x:row r="779" ht="17" customHeight="1"/>
    <x:row r="780" ht="17" customHeight="1"/>
    <x:row r="781" ht="17" customHeight="1"/>
    <x:row r="782" ht="17" customHeight="1"/>
    <x:row r="783" ht="17" customHeight="1"/>
    <x:row r="784" ht="17" customHeight="1"/>
    <x:row r="785" ht="17" customHeight="1"/>
    <x:row r="786" ht="17" customHeight="1"/>
    <x:row r="787" ht="17" customHeight="1"/>
    <x:row r="788" ht="17" customHeight="1"/>
    <x:row r="789" ht="17" customHeight="1"/>
    <x:row r="790" ht="17" customHeight="1"/>
    <x:row r="791" ht="17" customHeight="1"/>
    <x:row r="792" ht="17" customHeight="1"/>
    <x:row r="793" ht="17" customHeight="1"/>
    <x:row r="794" ht="17" customHeight="1"/>
    <x:row r="795" ht="17" customHeight="1"/>
    <x:row r="796" ht="17" customHeight="1"/>
    <x:row r="797" ht="17" customHeight="1"/>
    <x:row r="798" ht="17" customHeight="1"/>
    <x:row r="799" ht="17" customHeight="1"/>
    <x:row r="800" ht="17" customHeight="1"/>
    <x:row r="801" ht="17" customHeight="1"/>
    <x:row r="802" ht="17" customHeight="1"/>
    <x:row r="803" ht="17" customHeight="1"/>
    <x:row r="804" ht="17" customHeight="1"/>
    <x:row r="805" ht="17" customHeight="1"/>
    <x:row r="806" ht="17" customHeight="1"/>
    <x:row r="807" ht="17" customHeight="1"/>
    <x:row r="808" ht="17" customHeight="1"/>
    <x:row r="809" ht="17" customHeight="1"/>
    <x:row r="810" ht="17" customHeight="1"/>
    <x:row r="811" ht="17" customHeight="1"/>
    <x:row r="812" ht="17" customHeight="1"/>
    <x:row r="813" ht="17" customHeight="1"/>
    <x:row r="814" ht="17" customHeight="1"/>
    <x:row r="815" ht="17" customHeight="1"/>
    <x:row r="816" ht="17" customHeight="1"/>
    <x:row r="817" ht="17" customHeight="1"/>
    <x:row r="818" ht="17" customHeight="1"/>
    <x:row r="819" ht="17" customHeight="1"/>
    <x:row r="820" ht="17" customHeight="1"/>
    <x:row r="821" ht="17" customHeight="1"/>
    <x:row r="822" ht="17" customHeight="1"/>
    <x:row r="823" ht="17" customHeight="1"/>
    <x:row r="824" ht="17" customHeight="1"/>
    <x:row r="825" ht="17" customHeight="1"/>
    <x:row r="826" ht="17" customHeight="1"/>
    <x:row r="827" ht="17" customHeight="1"/>
    <x:row r="828" ht="17" customHeight="1"/>
    <x:row r="829" ht="17" customHeight="1"/>
    <x:row r="830" ht="17" customHeight="1"/>
    <x:row r="831" ht="17" customHeight="1"/>
    <x:row r="832" ht="17" customHeight="1"/>
    <x:row r="833" ht="17" customHeight="1"/>
    <x:row r="834" ht="17" customHeight="1"/>
    <x:row r="835" ht="17" customHeight="1"/>
    <x:row r="836" ht="17" customHeight="1"/>
    <x:row r="837" ht="17" customHeight="1"/>
    <x:row r="838" ht="17" customHeight="1"/>
    <x:row r="839" ht="17" customHeight="1"/>
    <x:row r="840" ht="17" customHeight="1"/>
    <x:row r="841" ht="17" customHeight="1"/>
    <x:row r="842" ht="17" customHeight="1"/>
    <x:row r="843" ht="17" customHeight="1"/>
    <x:row r="844" ht="17" customHeight="1"/>
    <x:row r="845" ht="17" customHeight="1"/>
    <x:row r="846" ht="17" customHeight="1"/>
    <x:row r="847" ht="17" customHeight="1"/>
    <x:row r="848" ht="17" customHeight="1"/>
    <x:row r="849" ht="17" customHeight="1"/>
    <x:row r="850" ht="17" customHeight="1"/>
    <x:row r="851" ht="17" customHeight="1"/>
    <x:row r="852" ht="17" customHeight="1"/>
    <x:row r="853" ht="17" customHeight="1"/>
    <x:row r="854" ht="17" customHeight="1"/>
    <x:row r="855" ht="17" customHeight="1"/>
    <x:row r="856" ht="17" customHeight="1"/>
    <x:row r="857" ht="17" customHeight="1"/>
    <x:row r="858" ht="17" customHeight="1"/>
    <x:row r="859" ht="17" customHeight="1"/>
    <x:row r="860" ht="17" customHeight="1"/>
    <x:row r="861" ht="17" customHeight="1"/>
    <x:row r="862" ht="17" customHeight="1"/>
    <x:row r="863" ht="17" customHeight="1"/>
    <x:row r="864" ht="17" customHeight="1"/>
    <x:row r="865" ht="17" customHeight="1"/>
    <x:row r="866" ht="17" customHeight="1"/>
    <x:row r="867" ht="17" customHeight="1"/>
    <x:row r="868" ht="17" customHeight="1"/>
    <x:row r="869" ht="17" customHeight="1"/>
    <x:row r="870" ht="17" customHeight="1"/>
    <x:row r="871" ht="17" customHeight="1"/>
    <x:row r="872" ht="17" customHeight="1"/>
    <x:row r="873" ht="17" customHeight="1"/>
    <x:row r="874" ht="17" customHeight="1"/>
    <x:row r="875" ht="17" customHeight="1"/>
    <x:row r="876" ht="17" customHeight="1"/>
    <x:row r="877" ht="17" customHeight="1"/>
    <x:row r="878" ht="17" customHeight="1"/>
    <x:row r="879" ht="17" customHeight="1"/>
    <x:row r="880" ht="17" customHeight="1"/>
    <x:row r="881" ht="17" customHeight="1"/>
    <x:row r="882" ht="17" customHeight="1"/>
    <x:row r="883" ht="17" customHeight="1"/>
    <x:row r="884" ht="17" customHeight="1"/>
    <x:row r="885" ht="17" customHeight="1"/>
    <x:row r="886" ht="17" customHeight="1"/>
    <x:row r="887" ht="17" customHeight="1"/>
    <x:row r="888" ht="17" customHeight="1"/>
    <x:row r="889" ht="17" customHeight="1"/>
    <x:row r="890" ht="17" customHeight="1"/>
    <x:row r="891" ht="17" customHeight="1"/>
    <x:row r="892" ht="17" customHeight="1"/>
    <x:row r="893" ht="17" customHeight="1"/>
    <x:row r="894" ht="17" customHeight="1"/>
    <x:row r="895" ht="17" customHeight="1"/>
    <x:row r="896" ht="17" customHeight="1"/>
    <x:row r="897" ht="17" customHeight="1"/>
    <x:row r="898" ht="17" customHeight="1"/>
    <x:row r="899" ht="17" customHeight="1"/>
    <x:row r="900" ht="17" customHeight="1"/>
    <x:row r="901" ht="17" customHeight="1"/>
    <x:row r="902" ht="17" customHeight="1"/>
    <x:row r="903" ht="17" customHeight="1"/>
    <x:row r="904" ht="17" customHeight="1"/>
    <x:row r="905" ht="17" customHeight="1"/>
    <x:row r="906" ht="17" customHeight="1"/>
    <x:row r="907" ht="17" customHeight="1"/>
    <x:row r="908" ht="17" customHeight="1"/>
    <x:row r="909" ht="17" customHeight="1"/>
    <x:row r="910" ht="17" customHeight="1"/>
    <x:row r="911" ht="17" customHeight="1"/>
    <x:row r="912" ht="17" customHeight="1"/>
    <x:row r="913" ht="17" customHeight="1"/>
    <x:row r="914" ht="17" customHeight="1"/>
    <x:row r="915" ht="17" customHeight="1"/>
    <x:row r="916" ht="17" customHeight="1"/>
    <x:row r="917" ht="17" customHeight="1"/>
    <x:row r="918" ht="17" customHeight="1"/>
    <x:row r="919" ht="17" customHeight="1"/>
    <x:row r="920" ht="17" customHeight="1"/>
    <x:row r="921" ht="17" customHeight="1"/>
    <x:row r="922" ht="17" customHeight="1"/>
    <x:row r="923" ht="17" customHeight="1"/>
    <x:row r="924" ht="17" customHeight="1"/>
    <x:row r="925" ht="17" customHeight="1"/>
    <x:row r="926" ht="17" customHeight="1"/>
    <x:row r="927" ht="17" customHeight="1"/>
    <x:row r="928" ht="17" customHeight="1"/>
    <x:row r="929" ht="17" customHeight="1"/>
    <x:row r="930" ht="17" customHeight="1"/>
    <x:row r="931" ht="17" customHeight="1"/>
    <x:row r="932" ht="17" customHeight="1"/>
    <x:row r="933" ht="17" customHeight="1"/>
    <x:row r="934" ht="17" customHeight="1"/>
    <x:row r="935" ht="17" customHeight="1"/>
    <x:row r="936" ht="17" customHeight="1"/>
    <x:row r="937" ht="17" customHeight="1"/>
    <x:row r="938" ht="17" customHeight="1"/>
    <x:row r="939" ht="17" customHeight="1"/>
    <x:row r="940" ht="17" customHeight="1"/>
    <x:row r="941" ht="17" customHeight="1"/>
    <x:row r="942" ht="17" customHeight="1"/>
    <x:row r="943" ht="17" customHeight="1"/>
    <x:row r="944" ht="17" customHeight="1"/>
    <x:row r="945" ht="17" customHeight="1"/>
    <x:row r="946" ht="17" customHeight="1"/>
    <x:row r="947" ht="17" customHeight="1"/>
    <x:row r="948" ht="17" customHeight="1"/>
    <x:row r="949" ht="17" customHeight="1"/>
    <x:row r="950" ht="17" customHeight="1"/>
    <x:row r="951" ht="17" customHeight="1"/>
    <x:row r="952" ht="17" customHeight="1"/>
    <x:row r="953" ht="17" customHeight="1"/>
    <x:row r="954" ht="17" customHeight="1"/>
    <x:row r="955" ht="17" customHeight="1"/>
    <x:row r="956" ht="17" customHeight="1"/>
    <x:row r="957" ht="17" customHeight="1"/>
    <x:row r="958" ht="17" customHeight="1"/>
    <x:row r="959" ht="17" customHeight="1"/>
    <x:row r="960" ht="17" customHeight="1"/>
    <x:row r="961" ht="17" customHeight="1"/>
    <x:row r="962" ht="17" customHeight="1"/>
    <x:row r="963" ht="17" customHeight="1"/>
    <x:row r="964" ht="17" customHeight="1"/>
    <x:row r="965" ht="17" customHeight="1"/>
    <x:row r="966" ht="17" customHeight="1"/>
    <x:row r="967" ht="17" customHeight="1"/>
    <x:row r="968" ht="17" customHeight="1"/>
    <x:row r="969" ht="17" customHeight="1"/>
    <x:row r="970" ht="17" customHeight="1"/>
    <x:row r="971" ht="17" customHeight="1"/>
    <x:row r="972" ht="17" customHeight="1"/>
    <x:row r="973" ht="17" customHeight="1"/>
    <x:row r="974" ht="17" customHeight="1"/>
    <x:row r="975" ht="17" customHeight="1"/>
    <x:row r="976" ht="17" customHeight="1"/>
    <x:row r="977" ht="17" customHeight="1"/>
    <x:row r="978" ht="17" customHeight="1"/>
    <x:row r="979" ht="17" customHeight="1"/>
    <x:row r="980" ht="17" customHeight="1"/>
    <x:row r="981" ht="17" customHeight="1"/>
    <x:row r="982" ht="17" customHeight="1"/>
    <x:row r="983" ht="17" customHeight="1"/>
    <x:row r="984" ht="17" customHeight="1"/>
    <x:row r="985" ht="17" customHeight="1"/>
    <x:row r="986" ht="17" customHeight="1"/>
    <x:row r="987" ht="17" customHeight="1"/>
    <x:row r="988" ht="17" customHeight="1"/>
    <x:row r="989" ht="17" customHeight="1"/>
    <x:row r="990" ht="17" customHeight="1"/>
    <x:row r="991" ht="17" customHeight="1"/>
    <x:row r="992" ht="17" customHeight="1"/>
    <x:row r="993" ht="17" customHeight="1"/>
    <x:row r="994" ht="17" customHeight="1"/>
    <x:row r="995" ht="17" customHeight="1"/>
    <x:row r="996" ht="17" customHeight="1"/>
    <x:row r="997" ht="17" customHeight="1"/>
    <x:row r="998" ht="17" customHeight="1"/>
    <x:row r="999" ht="17" customHeight="1"/>
    <x:row r="1000" ht="17" customHeight="1"/>
  </x:sheetData>
  <x:mergeCells>
    <x:mergeCell ref="F3:H3"/>
    <x:mergeCell ref="I3:J3"/>
  </x:mergeCells>
  <x:conditionalFormatting sqref="G13:G29">
    <x:cfRule type="containsText" dxfId="11" priority="1" operator="containsText" text="Dropped">
      <x:formula>NOT(ISERROR(SEARCH(("Dropped"),(G13))))</x:formula>
    </x:cfRule>
    <x:cfRule type="containsText" dxfId="10" priority="2" operator="containsText" text="Delay &gt; 1 week">
      <x:formula>NOT(ISERROR(SEARCH(("Delay &gt; 1 week"),(G13))))</x:formula>
    </x:cfRule>
    <x:cfRule type="containsText" dxfId="9" priority="3" operator="containsText" text="Delay &lt; 1 week">
      <x:formula>NOT(ISERROR(SEARCH(("Delay &lt; 1 week"),(G13))))</x:formula>
    </x:cfRule>
    <x:cfRule type="containsText" dxfId="8" priority="4" operator="containsText" text="Completed">
      <x:formula>NOT(ISERROR(SEARCH(("Completed"),(G13))))</x:formula>
    </x:cfRule>
    <x:cfRule type="containsText" dxfId="7" priority="5" operator="containsText" text="In Progress">
      <x:formula>NOT(ISERROR(SEARCH(("In Progress"),(G13))))</x:formula>
    </x:cfRule>
    <x:cfRule type="containsText" dxfId="6" priority="6" operator="containsText" text="Not Start">
      <x:formula>NOT(ISERROR(SEARCH(("Not Start"),(G13))))</x:formula>
    </x:cfRule>
  </x:conditionalFormatting>
  <x:conditionalFormatting sqref="G16:G29">
    <x:cfRule type="cellIs" dxfId="5" priority="7" operator="equal">
      <x:formula>#REF!</x:formula>
    </x:cfRule>
    <x:cfRule type="cellIs" dxfId="4" priority="8" operator="equal">
      <x:formula>$J$8</x:formula>
    </x:cfRule>
    <x:cfRule type="cellIs" dxfId="3" priority="9" operator="equal">
      <x:formula>$J$7</x:formula>
    </x:cfRule>
    <x:cfRule type="cellIs" dxfId="2" priority="10" operator="equal">
      <x:formula>$J$6</x:formula>
    </x:cfRule>
    <x:cfRule type="cellIs" dxfId="1" priority="11" operator="equal">
      <x:formula>$J$5</x:formula>
    </x:cfRule>
    <x:cfRule type="cellIs" dxfId="0" priority="12" operator="equal">
      <x:formula>$J$4</x:formula>
    </x:cfRule>
  </x:conditionalFormatting>
  <x:dataValidations count="1">
    <x:dataValidation type="list" allowBlank="1" showErrorMessage="1" sqref="G17:G29">
      <x:formula1>'7. Cập nhật tiến độ'!ATS</x:formula1>
    </x:dataValidation>
  </x:dataValidations>
  <x:pageMargins left="0.7" right="0.7" top="0.75" bottom="0.75" header="0.3" footer="0.3"/>
</x:worksheet>
</file>