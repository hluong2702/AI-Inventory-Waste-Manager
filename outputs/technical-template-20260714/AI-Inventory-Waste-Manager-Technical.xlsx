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96e72951a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Roadmap" sheetId="1" r:id="R80d2237f57754394"/>
    <x:sheet xmlns:r="http://schemas.openxmlformats.org/officeDocument/2006/relationships" name="1. Project Charter" sheetId="2" r:id="R3aab5ef92d6c4183"/>
    <x:sheet xmlns:r="http://schemas.openxmlformats.org/officeDocument/2006/relationships" name="2. Master Planxxx" sheetId="3" r:id="R154dcd13260b4e9e"/>
    <x:sheet xmlns:r="http://schemas.openxmlformats.org/officeDocument/2006/relationships" name="2. Price" sheetId="4" r:id="R8376f2146cf5485d"/>
    <x:sheet xmlns:r="http://schemas.openxmlformats.org/officeDocument/2006/relationships" name="3. Master Plan" sheetId="5" r:id="Rb27de5ead8994fff"/>
    <x:sheet xmlns:r="http://schemas.openxmlformats.org/officeDocument/2006/relationships" name="4. Nhân sự dự án" sheetId="6" r:id="Rf1c2b8baf02a4073"/>
    <x:sheet xmlns:r="http://schemas.openxmlformats.org/officeDocument/2006/relationships" name="7. Cập nhật tiến độ" sheetId="7" r:id="R7fc0e26264274415"/>
  </x:sheets>
  <x:definedNames>
    <x:definedName name="valuevx">42.314159</x:definedName>
    <x:definedName name="vertex42_copyright">"© 2017 Vertex42 LLC"</x:definedName>
    <x:definedName name="vertex42_id">"project-planner.xlsx"</x:definedName>
    <x:definedName name="vertex42_title">"Project Planner Template"</x:definedName>
    <x:definedName name="nextDate">#REF!</x:definedName>
    <x:definedName name="thisDate">#REF!</x:definedName>
    <x:definedName name="pEnd">#REF!</x:definedName>
    <x:definedName name="ATS" localSheetId="6">'[1]PM10-ATS_Nhật ký hoạt động'!$J$4:$J$8</x:definedName>
  </x:definedNames>
</x:workbook>
</file>

<file path=xl/comments1.xml><?xml version="1.0" encoding="utf-8"?>
<x:comments xmlns:x="http://schemas.openxmlformats.org/spreadsheetml/2006/main">
  <x:authors>
    <x:author>theanh</x:author>
  </x:authors>
  <x:commentList>
    <x:comment ref="C6" authorId="0">
      <x:text>
        <x:r>
          <x:t>======
ID#AAAB9OWCrbg
theanh    (2026-06-29 02:38:24)
Lưu ý tính thêm các ngày nghỉ, CN
Số ngày thêm là 14 CN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<x:sst xmlns:x="http://schemas.openxmlformats.org/spreadsheetml/2006/main">
  <x:si>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PROJECT CHARTER</x:t>
  </x:si>
  <x:si>
    <x:t xml:space="preserve">Tên dự án:</x:t>
  </x:si>
  <x:si>
    <x:t xml:space="preserve">Đơn vị yêu cầu:</x:t>
  </x:si>
  <x:si>
    <x:t xml:space="preserve">Ban chỉ đạo dự án:</x:t>
  </x:si>
  <x:si>
    <x:t xml:space="preserve">Giám đốc dự án:</x:t>
  </x:si>
  <x:si>
    <x:t xml:space="preserve">Quản trị dự án:</x:t>
  </x:si>
  <x:si>
    <x:t xml:space="preserve">Đơn vị triển khai:</x:t>
  </x:si>
  <x:si>
    <x:t xml:space="preserve">Ngày bắt đầu:</x:t>
  </x:si>
  <x:si>
    <x:t xml:space="preserve">Ngày kết thúc:</x:t>
  </x:si>
  <x:si>
    <x:t xml:space="preserve">Mục tiêu dự án cần đạt được:</x:t>
  </x:si>
  <x:si>
    <x:t xml:space="preserve">  </x:t>
  </x:si>
  <x:si>
    <x:t xml:space="preserve">Phạm vi dự án:</x:t>
  </x:si>
  <x:si>
    <x:t xml:space="preserve">Phạm vi ngoài dự án:</x:t>
  </x:si>
  <x:si>
    <x:t xml:space="preserve">Kinh phí triển khai:</x:t>
  </x:si>
  <x:si>
    <x:t xml:space="preserve">Kết quả/sản phẩm cần có:</x:t>
  </x:si>
  <x:si>
    <x:t xml:space="preserve">In progress</x:t>
  </x:si>
  <x:si>
    <x:t xml:space="preserve">KẾ HOẠCH TỔNG THỂ DỰ ÁN</x:t>
  </x:si>
  <x:si>
    <x:t xml:space="preserve">Not start</x:t>
  </x:si>
  <x:si>
    <x:t xml:space="preserve">Done</x:t>
  </x:si>
  <x:si>
    <x:t xml:space="preserve">Giai Đoạn</x:t>
  </x:si>
  <x:si>
    <x:t xml:space="preserve">Các hoạt động chính</x:t>
  </x:si>
  <x:si>
    <x:t xml:space="preserve">Trạng thái</x:t>
  </x:si>
  <x:si>
    <x:t xml:space="preserve">PIC</x:t>
  </x:si>
  <x:si>
    <x:t xml:space="preserve">Deadline</x:t>
  </x:si>
  <x:si>
    <x:t xml:space="preserve">Jul</x:t>
  </x:si>
  <x:si>
    <x:t xml:space="preserve">Aug</x:t>
  </x:si>
  <x:si>
    <x:t xml:space="preserve">Sep</x:t>
  </x:si>
  <x:si>
    <x:t xml:space="preserve">Oct</x:t>
  </x:si>
  <x:si>
    <x:t xml:space="preserve">Nov</x:t>
  </x:si>
  <x:si>
    <x:t xml:space="preserve">Dec</x:t>
  </x:si>
  <x:si>
    <x:t xml:space="preserve">Jan</x:t>
  </x:si>
  <x:si>
    <x:t xml:space="preserve">Feb</x:t>
  </x:si>
  <x:si>
    <x:t xml:space="preserve">Estimate (day)</x:t>
  </x:si>
  <x:si>
    <x:t xml:space="preserve">CNTT</x:t>
  </x:si>
  <x:si>
    <x:t xml:space="preserve">HCNS</x:t>
  </x:si>
  <x:si>
    <x:t xml:space="preserve">W1</x:t>
  </x:si>
  <x:si>
    <x:t xml:space="preserve">W2</x:t>
  </x:si>
  <x:si>
    <x:t xml:space="preserve">W3</x:t>
  </x:si>
  <x:si>
    <x:t xml:space="preserve">W4</x:t>
  </x:si>
  <x:si>
    <x:t xml:space="preserve">[42]</x:t>
  </x:si>
  <x:si>
    <x:t xml:space="preserve">Project Start:</x:t>
  </x:si>
  <x:si>
    <x:t xml:space="preserve">Display:</x:t>
  </x:si>
  <x:si>
    <x:t xml:space="preserve">Display Period:</x:t>
  </x:si>
  <x:si>
    <x:t xml:space="preserve">DANH SÁCH NHÂN SỰ THAM GIA DỰ ÁN</x:t>
  </x:si>
  <x:si>
    <x:t xml:space="preserve">STT</x:t>
  </x:si>
  <x:si>
    <x:t xml:space="preserve">Họ Tên</x:t>
  </x:si>
  <x:si>
    <x:t xml:space="preserve">Đơn vị/Ban</x:t>
  </x:si>
  <x:si>
    <x:t xml:space="preserve">Chức Vụ</x:t>
  </x:si>
  <x:si>
    <x:t xml:space="preserve">Vai trò trong dự án</x:t>
  </x:si>
  <x:si>
    <x:t xml:space="preserve">Điện thoại</x:t>
  </x:si>
  <x:si>
    <x:t xml:space="preserve">Email</x:t>
  </x:si>
  <x:si>
    <x:t xml:space="preserve">Ghi chú</x:t>
  </x:si>
  <x:si>
    <x:r>
      <x:rPr>
        <x:b/>
        <x:sz val="1200"/>
        <x:color rgb="FF000000"/>
        <x:rFont val="Arial"/>
      </x:rPr>
      <x:t xml:space="preserve">Action Tracking Sheet
</x:t>
    </x:r>
    <x:r>
      <x:rPr>
        <x:b/>
        <x:i/>
        <x:sz val="1200"/>
        <x:color rgb="FF000000"/>
        <x:rFont val="Arial"/>
      </x:rPr>
      <x:t xml:space="preserve">Nhật ký hoạt động dự án</x:t>
    </x:r>
  </x:si>
  <x:si>
    <x:r>
      <x:rPr>
        <x:b/>
        <x:sz val="1000"/>
        <x:color rgb="FF000000"/>
        <x:rFont val="Arial"/>
      </x:rPr>
      <x:t xml:space="preserve">Status</x:t>
    </x:r>
    <x:r>
      <x:rPr>
        <x:b/>
        <x:i/>
        <x:sz val="1000"/>
        <x:color rgb="FF000000"/>
        <x:rFont val="Arial"/>
      </x:rPr>
      <x:t xml:space="preserve">
Trạng thái</x:t>
    </x:r>
  </x:si>
  <x:si>
    <x:t xml:space="preserve">Chưa bắt đầu</x:t>
  </x:si>
  <x:si>
    <x:t xml:space="preserve">Not Started</x:t>
  </x:si>
  <x:si>
    <x:t xml:space="preserve">Đang diễn ra</x:t>
  </x:si>
  <x:si>
    <x:t xml:space="preserve">In Progress</x:t>
  </x:si>
  <x:si>
    <x:t xml:space="preserve">Hoàn thành</x:t>
  </x:si>
  <x:si>
    <x:t xml:space="preserve">Completed</x:t>
  </x:si>
  <x:si>
    <x:t xml:space="preserve">Trễ tiến độ &lt; 1 tuần</x:t>
  </x:si>
  <x:si>
    <x:t xml:space="preserve">Delay &lt; 1 week</x:t>
  </x:si>
  <x:si>
    <x:t xml:space="preserve">Trễ tiến độ &gt; 1 tuần</x:t>
  </x:si>
  <x:si>
    <x:t xml:space="preserve">Delay &gt; 1 week</x:t>
  </x:si>
  <x:si>
    <x:t xml:space="preserve">Bãi bỏ</x:t>
  </x:si>
  <x:si>
    <x:t xml:space="preserve">Dropped</x:t>
  </x:si>
  <x:si>
    <x:r>
      <x:rPr>
        <x:b/>
        <x:sz val="1000"/>
        <x:color rgb="FFFFFFFF"/>
        <x:rFont val="Arial"/>
      </x:rPr>
      <x:t xml:space="preserve">No.
</x:t>
    </x:r>
    <x:r>
      <x:rPr>
        <x:b/>
        <x:i/>
        <x:sz val="1000"/>
        <x:color rgb="FFFFFFFF"/>
        <x:rFont val="Arial"/>
      </x:rPr>
      <x:t xml:space="preserve">STT</x:t>
    </x:r>
  </x:si>
  <x:si>
    <x:r>
      <x:rPr>
        <x:b/>
        <x:sz val="1000"/>
        <x:color rgb="FFFFFFFF"/>
        <x:rFont val="Arial"/>
      </x:rPr>
      <x:t xml:space="preserve">Date Raised
</x:t>
    </x:r>
    <x:r>
      <x:rPr>
        <x:b/>
        <x:i/>
        <x:sz val="1000"/>
        <x:color rgb="FFFFFFFF"/>
        <x:rFont val="Arial"/>
      </x:rPr>
      <x:t xml:space="preserve">Ngày cập nhật</x:t>
    </x:r>
  </x:si>
  <x:si>
    <x:r>
      <x:rPr>
        <x:b/>
        <x:sz val="1000"/>
        <x:color rgb="FFFFFFFF"/>
        <x:rFont val="Arial"/>
      </x:rPr>
      <x:t xml:space="preserve">Source
</x:t>
    </x:r>
    <x:r>
      <x:rPr>
        <x:b/>
        <x:i/>
        <x:sz val="1000"/>
        <x:color rgb="FFFFFFFF"/>
        <x:rFont val="Arial"/>
      </x:rPr>
      <x:t xml:space="preserve">Nguồn
(Nội bộ/Ngoài dự án)</x:t>
    </x:r>
  </x:si>
  <x:si>
    <x:r>
      <x:rPr>
        <x:b/>
        <x:sz val="1000"/>
        <x:color rgb="FFFFFFFF"/>
        <x:rFont val="Arial"/>
      </x:rPr>
      <x:t xml:space="preserve">Workstream
</x:t>
    </x:r>
    <x:r>
      <x:rPr>
        <x:b/>
        <x:i/>
        <x:sz val="1000"/>
        <x:color rgb="FFFFFFFF"/>
        <x:rFont val="Arial"/>
      </x:rPr>
      <x:t xml:space="preserve">Nhóm công việc</x:t>
    </x:r>
  </x:si>
  <x:si>
    <x:r>
      <x:rPr>
        <x:b/>
        <x:sz val="1000"/>
        <x:color rgb="FFFFFFFF"/>
        <x:rFont val="Arial"/>
      </x:rPr>
      <x:t xml:space="preserve">Topic
</x:t>
    </x:r>
    <x:r>
      <x:rPr>
        <x:b/>
        <x:i/>
        <x:sz val="1000"/>
        <x:color rgb="FFFFFFFF"/>
        <x:rFont val="Arial"/>
      </x:rPr>
      <x:t xml:space="preserve">Chủ đề</x:t>
    </x:r>
  </x:si>
  <x:si>
    <x:r>
      <x:rPr>
        <x:b/>
        <x:sz val="1000"/>
        <x:color rgb="FFFFFFFF"/>
        <x:rFont val="Arial"/>
      </x:rPr>
      <x:t xml:space="preserve">Description
</x:t>
    </x:r>
    <x:r>
      <x:rPr>
        <x:b/>
        <x:i/>
        <x:sz val="1000"/>
        <x:color rgb="FFFFFFFF"/>
        <x:rFont val="Arial"/>
      </x:rPr>
      <x:t xml:space="preserve">Nội dung</x:t>
    </x:r>
  </x:si>
  <x:si>
    <x:r>
      <x:rPr>
        <x:b/>
        <x:sz val="1000"/>
        <x:color rgb="FFFFFFFF"/>
        <x:rFont val="Arial"/>
      </x:rPr>
      <x:t xml:space="preserve">Status
</x:t>
    </x:r>
    <x:r>
      <x:rPr>
        <x:b/>
        <x:i/>
        <x:sz val="1000"/>
        <x:color rgb="FFFFFFFF"/>
        <x:rFont val="Arial"/>
      </x:rPr>
      <x:t xml:space="preserve">Trạng thái</x:t>
    </x:r>
  </x:si>
  <x:si>
    <x:r>
      <x:rPr>
        <x:b/>
        <x:sz val="1000"/>
        <x:color rgb="FFFFFFFF"/>
        <x:rFont val="Arial"/>
      </x:rPr>
      <x:t xml:space="preserve">Due date
</x:t>
    </x:r>
    <x:r>
      <x:rPr>
        <x:b/>
        <x:i/>
        <x:sz val="1000"/>
        <x:color rgb="FFFFFFFF"/>
        <x:rFont val="Arial"/>
      </x:rPr>
      <x:t xml:space="preserve">Ngày kết thúc</x:t>
    </x:r>
  </x:si>
  <x:si>
    <x:r>
      <x:rPr>
        <x:b/>
        <x:sz val="1000"/>
        <x:color rgb="FFFFFFFF"/>
        <x:rFont val="Arial"/>
      </x:rPr>
      <x:t xml:space="preserve">Revised Due Date</x:t>
    </x:r>
    <x:r>
      <x:rPr>
        <x:b/>
        <x:i/>
        <x:sz val="1000"/>
        <x:color rgb="FFFFFFFF"/>
        <x:rFont val="Arial"/>
      </x:rPr>
      <x:t xml:space="preserve">
Cập nhật lại ngày kết thúc</x:t>
    </x:r>
  </x:si>
  <x:si>
    <x:r>
      <x:rPr>
        <x:b/>
        <x:sz val="1000"/>
        <x:color rgb="FFFFFFFF"/>
        <x:rFont val="Arial"/>
      </x:rPr>
      <x:t xml:space="preserve">Owner
</x:t>
    </x:r>
    <x:r>
      <x:rPr>
        <x:b/>
        <x:i/>
        <x:sz val="1000"/>
        <x:color rgb="FFFFFFFF"/>
        <x:rFont val="Arial"/>
      </x:rPr>
      <x:t xml:space="preserve">Người chịu trách nhiệm</x:t>
    </x:r>
  </x:si>
  <x:si>
    <x:r>
      <x:rPr>
        <x:b/>
        <x:sz val="1000"/>
        <x:color rgb="FFFFFFFF"/>
        <x:rFont val="Arial"/>
      </x:rPr>
      <x:t xml:space="preserve">Comment Tracking
</x:t>
    </x:r>
    <x:r>
      <x:rPr>
        <x:b/>
        <x:i/>
        <x:sz val="1000"/>
        <x:color rgb="FFFFFFFF"/>
        <x:rFont val="Arial"/>
      </x:rPr>
      <x:t xml:space="preserve">Thông tin bổ sung</x:t>
    </x:r>
  </x:si>
</x:sst>
</file>

<file path=xl/styles.xml><?xml version="1.0" encoding="utf-8"?>
<x:styleSheet xmlns:x="http://schemas.openxmlformats.org/spreadsheetml/2006/main">
  <x:numFmts count="6">
    <x:numFmt numFmtId="164" formatCode="[$-409]d\-mmm\-yy"/>
    <x:numFmt numFmtId="165" formatCode="ddd\,\ m/d/yyyy"/>
    <x:numFmt numFmtId="166" formatCode="m/d/yy"/>
    <x:numFmt numFmtId="200" formatCode="dd/mm/yyyy"/>
    <x:numFmt numFmtId="201" formatCode="#,##0"/>
    <x:numFmt numFmtId="202" formatCode="0%"/>
  </x:numFmts>
  <x:fonts count="48">
    <x:font>
      <x:sz val="11"/>
      <x:color theme="1"/>
      <x:name val="Arial"/>
    </x:font>
    <x:font>
      <x:b/>
      <x:sz val="16"/>
      <x:color theme="1"/>
      <x:name val="Arial"/>
    </x:font>
    <x:font>
      <x:b/>
      <x:sz val="12"/>
      <x:color theme="1"/>
      <x:name val="Arial"/>
    </x:font>
    <x:font/>
    <x:font>
      <x:b/>
      <x:sz val="11"/>
      <x:color theme="1"/>
      <x:name val="Arial"/>
    </x:font>
    <x:font>
      <x:sz val="11"/>
      <x:color theme="1"/>
      <x:name val="Arial"/>
    </x:font>
    <x:font>
      <x:b/>
      <x:sz val="12"/>
      <x:color theme="1"/>
      <x:name val="Times New Roman"/>
    </x:font>
    <x:font>
      <x:sz val="12"/>
      <x:color theme="1"/>
      <x:name val="Times New Roman"/>
    </x:font>
    <x:font>
      <x:color theme="1"/>
      <x:name val="Arial"/>
    </x:font>
    <x:font>
      <x:sz val="10"/>
      <x:color theme="1"/>
      <x:name val="Arial"/>
    </x:font>
    <x:font>
      <x:sz val="11"/>
      <x:color theme="1"/>
      <x:name val="Calibri"/>
    </x:font>
    <x:font>
      <x:sz val="11"/>
      <x:color rgb="FF000000"/>
      <x:name val="Calibri"/>
    </x:font>
    <x:font>
      <x:b/>
      <x:sz val="16"/>
      <x:color theme="1"/>
      <x:name val="Calibri"/>
    </x:font>
    <x:font>
      <x:b/>
      <x:sz val="14"/>
      <x:color rgb="FF000000"/>
      <x:name val="Calibri"/>
    </x:font>
    <x:font>
      <x:b/>
      <x:sz val="11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Calibri"/>
    </x:font>
    <x:font>
      <x:sz val="8"/>
      <x:color rgb="FF000000"/>
      <x:name val="Calibri"/>
    </x:font>
    <x:font>
      <x:b/>
      <x:sz val="16"/>
      <x:color theme="1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  <x:font>
      <x:sz val="12"/>
      <x:color rgb="FF000000"/>
      <x:name val="Times New Roman"/>
    </x:font>
    <x:font>
      <x:b/>
      <x:sz val="10"/>
      <x:color theme="4"/>
      <x:name val="Times New Roman"/>
    </x:font>
    <x:font>
      <x:b/>
      <x:sz val="10"/>
      <x:color rgb="FF2B4575"/>
      <x:name val="Times New Roman"/>
    </x:font>
    <x:font>
      <x:sz val="10"/>
      <x:color theme="1"/>
      <x:name val="Times New Roman"/>
    </x:font>
    <x:font>
      <x:sz val="10"/>
      <x:color rgb="FF7F7F7F"/>
      <x:name val="Times New Roman"/>
    </x:font>
    <x:font>
      <x:sz val="10"/>
      <x:color theme="0"/>
      <x:name val="Times New Roman"/>
    </x:font>
    <x:font>
      <x:sz val="10"/>
      <x:color rgb="FFD8D8D8"/>
      <x:name val="Times New Roman"/>
    </x:font>
    <x:font>
      <x:b/>
      <x:sz val="10"/>
      <x:color theme="0"/>
      <x:name val="Times New Roman"/>
    </x:font>
    <x:font>
      <x:b/>
      <x:sz val="10"/>
      <x:color theme="1"/>
      <x:name val="Times New Roman"/>
    </x:font>
    <x:font>
      <x:sz val="8"/>
      <x:color theme="1"/>
      <x:name val="Arial"/>
    </x:font>
    <x:font>
      <x:b/>
      <x:i/>
      <x:sz val="10"/>
      <x:color theme="1"/>
      <x:name val="Times New Roman"/>
    </x:font>
    <x:font>
      <x:sz val="10"/>
      <x:color rgb="FF000000"/>
      <x:name val="Times New Roman"/>
    </x:font>
    <x:font>
      <x:sz val="12"/>
      <x:color rgb="FF0000FF"/>
      <x:name val="Times New Roman"/>
    </x:font>
    <x:font>
      <x:b/>
      <x:sz val="14"/>
      <x:color theme="1"/>
      <x:name val="Arial"/>
    </x:font>
    <x:font>
      <x:b/>
      <x:sz val="10"/>
      <x:color theme="1"/>
      <x:name val="Arial"/>
    </x:font>
    <x:font>
      <x:b/>
      <x:sz val="18"/>
      <x:color theme="1"/>
      <x:name val="Arial"/>
    </x:font>
    <x:font>
      <x:i/>
      <x:sz val="10"/>
      <x:color theme="1"/>
      <x:name val="Arial"/>
    </x:font>
    <x:font>
      <x:sz val="10"/>
      <x:color theme="0"/>
      <x:name val="Arial"/>
    </x:font>
    <x:font>
      <x:sz val="10"/>
      <x:color rgb="FF00000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color theme="0"/>
      <x:name val="Arial"/>
    </x:font>
    <x:font>
      <x:sz val="10"/>
      <x:color rgb="FF7F7F7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color rgb="FF000000"/>
    </x:font>
  </x:fonts>
  <x:fills count="28">
    <x:fill>
      <x:patternFill patternType="none"/>
    </x:fill>
    <x:fill>
      <x:patternFill patternType="lightGray"/>
    </x:fill>
    <x:fill>
      <x:patternFill patternType="solid">
        <x:fgColor rgb="FFD8D8D8"/>
      </x:patternFill>
    </x:fill>
    <x:fill>
      <x:patternFill patternType="solid">
        <x:fgColor rgb="FF9CE89C"/>
      </x:patternFill>
    </x:fill>
    <x:fill>
      <x:patternFill patternType="solid">
        <x:fgColor theme="0"/>
      </x:patternFill>
    </x:fill>
    <x:fill>
      <x:patternFill patternType="solid">
        <x:fgColor rgb="FFC9DAFB"/>
      </x:patternFill>
    </x:fill>
    <x:fill>
      <x:patternFill patternType="solid">
        <x:fgColor rgb="FFF2F2F2"/>
      </x:patternFill>
    </x:fill>
    <x:fill>
      <x:patternFill patternType="solid">
        <x:fgColor rgb="FFFFE600"/>
      </x:patternFill>
    </x:fill>
    <x:fill>
      <x:patternFill patternType="solid">
        <x:fgColor rgb="FFFFC000"/>
      </x:patternFill>
    </x:fill>
    <x:fill>
      <x:patternFill patternType="solid">
        <x:fgColor rgb="FFBED0EB"/>
      </x:patternFill>
    </x:fill>
    <x:fill>
      <x:patternFill patternType="solid">
        <x:fgColor theme="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E9E0D7"/>
      </x:patternFill>
    </x:fill>
    <x:fill>
      <x:patternFill patternType="solid">
        <x:fgColor rgb="FFD3DDEE"/>
      </x:patternFill>
    </x:fill>
    <x:fill>
      <x:patternFill patternType="solid">
        <x:fgColor theme="4"/>
      </x:patternFill>
    </x:fill>
    <x:fill>
      <x:patternFill patternType="solid">
        <x:fgColor rgb="FF7F7F7F"/>
      </x:patternFill>
    </x:fill>
    <x:fill>
      <x:patternFill patternType="solid">
        <x:fgColor rgb="FF7D9ACE"/>
      </x:patternFill>
    </x:fill>
    <x:fill>
      <x:patternFill patternType="solid">
        <x:fgColor rgb="FFDEE7F5"/>
      </x:patternFill>
    </x:fill>
    <x:fill>
      <x:patternFill patternType="solid">
        <x:fgColor rgb="FFDEE8F5"/>
      </x:patternFill>
    </x:fill>
    <x:fill>
      <x:patternFill patternType="solid">
        <x:fgColor rgb="FFBFBFBF"/>
      </x:patternFill>
    </x:fill>
    <x:fill>
      <x:patternFill patternType="solid">
        <x:fgColor rgb="FF00B050"/>
      </x:patternFill>
    </x:fill>
    <x:fill>
      <x:patternFill patternType="solid">
        <x:fgColor rgb="FF3366FF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70AD47"/>
      </x:patternFill>
    </x:fill>
  </x:fills>
  <x:borders count="89">
    <x:border/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medium">
        <x:color rgb="FF000000"/>
      </x:right>
    </x:border>
    <x:border>
      <x:left style="medium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</x:border>
    <x:border>
      <x:right style="thin">
        <x:color rgb="FF000000"/>
      </x:right>
    </x:border>
    <x:border/>
    <x:border>
      <x:right style="thin">
        <x:color rgb="FF000000"/>
      </x:right>
    </x:border>
    <x:border>
      <x:left style="medium">
        <x:color rgb="FF000000"/>
      </x:left>
    </x:border>
    <x:border>
      <x:right style="medium">
        <x:color rgb="FF000000"/>
      </x:right>
    </x:border>
    <x:border>
      <x:left style="thin">
        <x:color rgb="FF000000"/>
      </x:left>
    </x:border>
    <x:border>
      <x:left style="thin">
        <x:color rgb="FF000000"/>
      </x:left>
    </x:border>
    <x:border>
      <x:left style="medium">
        <x:color rgb="FF000000"/>
      </x:left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bottom style="medium">
        <x:color rgb="FF000000"/>
      </x:bottom>
    </x:border>
    <x:border>
      <x:bottom style="medium">
        <x:color rgb="FF000000"/>
      </x:bottom>
    </x:border>
    <x:border>
      <x:left style="thin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70C0"/>
      </x:left>
      <x:right style="thin">
        <x:color theme="4"/>
      </x:right>
      <x:top style="thin">
        <x:color rgb="FF0070C0"/>
      </x:top>
      <x:bottom style="thin">
        <x:color theme="4"/>
      </x:bottom>
    </x:border>
    <x:border>
      <x:left style="thin">
        <x:color theme="4"/>
      </x:left>
      <x:right style="thin">
        <x:color theme="4"/>
      </x:right>
      <x:top style="thin">
        <x:color rgb="FF0070C0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  <x:top style="thin">
        <x:color rgb="FF0070C0"/>
      </x:top>
      <x:bottom style="thin">
        <x:color theme="4"/>
      </x:bottom>
    </x:border>
    <x:border>
      <x:left style="thin">
        <x:color rgb="FF0070C0"/>
      </x:left>
      <x:right style="thin">
        <x:color theme="4"/>
      </x:right>
    </x:border>
    <x:border>
      <x:left style="thin">
        <x:color theme="4"/>
      </x:lef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</x:border>
    <x:border>
      <x:left style="thin">
        <x:color rgb="FF0070C0"/>
      </x:left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</x:border>
    <x:border>
      <x:left style="thin">
        <x:color theme="4"/>
      </x:left>
      <x:right style="thin">
        <x:color rgb="FF0070C0"/>
      </x:right>
      <x:top style="thin">
        <x:color theme="4"/>
      </x:top>
      <x:bottom style="thin">
        <x:color theme="4"/>
      </x:bottom>
    </x:border>
    <x:border>
      <x:right style="thin">
        <x:color rgb="FF0070C0"/>
      </x:right>
    </x:border>
    <x:border>
      <x:left style="thin">
        <x:color theme="4"/>
      </x:left>
      <x:top style="thin">
        <x:color theme="4"/>
      </x:top>
      <x:bottom style="thin">
        <x:color theme="4"/>
      </x:bottom>
    </x:border>
    <x:border>
      <x:top style="thin">
        <x:color theme="4"/>
      </x:top>
      <x:bottom style="thin">
        <x:color theme="4"/>
      </x:bottom>
    </x:border>
    <x:border>
      <x:right style="thin">
        <x:color rgb="FF0070C0"/>
      </x:right>
      <x:top style="thin">
        <x:color theme="4"/>
      </x:top>
      <x:bottom style="thin">
        <x:color theme="4"/>
      </x:bottom>
    </x:border>
    <x:border>
      <x:left style="thin">
        <x:color rgb="FF0070C0"/>
      </x:lef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  <x:bottom style="thin">
        <x:color theme="4"/>
      </x:bottom>
    </x:border>
    <x:border>
      <x:right style="thin">
        <x:color theme="4"/>
      </x:right>
      <x:top style="thin">
        <x:color theme="4"/>
      </x:top>
    </x:border>
    <x:border>
      <x:left style="thin">
        <x:color theme="4"/>
      </x:left>
      <x:right style="thin">
        <x:color theme="4"/>
      </x:right>
      <x:top style="thin">
        <x:color theme="4"/>
      </x:top>
    </x:border>
    <x:border>
      <x:left style="thin">
        <x:color theme="4"/>
      </x:left>
      <x:top style="thin">
        <x:color theme="4"/>
      </x:top>
    </x:border>
    <x:border>
      <x:left style="thin">
        <x:color rgb="FF0070C0"/>
      </x:left>
      <x:right style="thin">
        <x:color theme="4"/>
      </x:right>
      <x:top style="thin">
        <x:color theme="4"/>
      </x:top>
      <x:bottom style="thin">
        <x:color rgb="FF0070C0"/>
      </x:bottom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rgb="FF0070C0"/>
      </x:bottom>
    </x:border>
    <x:border>
      <x:left style="thin">
        <x:color theme="4"/>
      </x:left>
      <x:right style="thin">
        <x:color rgb="FF0070C0"/>
      </x:right>
      <x:top style="thin">
        <x:color theme="4"/>
      </x:top>
      <x:bottom style="thin">
        <x:color rgb="FF0070C0"/>
      </x:bottom>
    </x:border>
    <x:border>
      <x:left style="thin">
        <x:color rgb="FFA5A5A5"/>
      </x:left>
      <x:top style="thin">
        <x:color rgb="FFA5A5A5"/>
      </x:top>
      <x:bottom style="thin">
        <x:color rgb="FFA5A5A5"/>
      </x:bottom>
    </x:border>
    <x:border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bottom style="thin">
        <x:color rgb="FFBFBFBF"/>
      </x:bottom>
    </x:border>
    <x:border>
      <x:left style="thin">
        <x:color rgb="FFD8D8D8"/>
      </x:left>
      <x:right style="thin">
        <x:color rgb="FFD8D8D8"/>
      </x:right>
      <x:top style="thin">
        <x:color rgb="FFBFBFBF"/>
      </x:top>
    </x:border>
    <x:border>
      <x:top style="thin">
        <x:color rgb="FFA5A5A5"/>
      </x:top>
    </x:border>
    <x:border>
      <x:left style="thin">
        <x:color rgb="FFD8D8D8"/>
      </x:left>
      <x:right style="thin">
        <x:color rgb="FFD8D8D8"/>
      </x:right>
      <x:bottom style="medium">
        <x:color rgb="FFD8D8D8"/>
      </x:bottom>
    </x:border>
    <x:border>
      <x:left style="thin">
        <x:color rgb="FFD8D8D8"/>
      </x:left>
      <x:right style="thin">
        <x:color rgb="FFD8D8D8"/>
      </x:right>
      <x:top style="medium">
        <x:color rgb="FFD8D8D8"/>
      </x:top>
      <x:bottom style="medium">
        <x:color rgb="FFD8D8D8"/>
      </x:bottom>
    </x:border>
    <x:border>
      <x:top style="medium">
        <x:color rgb="FFD8D8D8"/>
      </x:top>
      <x:bottom style="medium">
        <x:color rgb="FFD8D8D8"/>
      </x:bottom>
    </x:border>
    <x:border>
      <x:left style="thin">
        <x:color rgb="FFD8D8D8"/>
      </x:left>
      <x:top style="medium">
        <x:color rgb="FFD8D8D8"/>
      </x:top>
      <x:bottom style="medium">
        <x:color rgb="FFD8D8D8"/>
      </x:bottom>
    </x:border>
    <x:border>
      <x:right style="thin">
        <x:color rgb="FFD8D8D8"/>
      </x:right>
      <x:top style="medium">
        <x:color rgb="FFD8D8D8"/>
      </x:top>
      <x:bottom style="medium">
        <x:color rgb="FFD8D8D8"/>
      </x:bottom>
    </x:border>
    <x:border>
      <x:top style="medium">
        <x:color rgb="FFD8D8D8"/>
      </x:top>
      <x:bottom style="medium">
        <x:color rgb="FFD8D8D8"/>
      </x:bottom>
    </x:border>
    <x:border>
      <x:left style="thin">
        <x:color rgb="FFD8D8D8"/>
      </x:left>
      <x:top style="medium">
        <x:color rgb="FFD8D8D8"/>
      </x:top>
      <x:bottom style="medium">
        <x:color rgb="FFD8D8D8"/>
      </x:bottom>
    </x:border>
    <x:border>
      <x:left style="thin">
        <x:color rgb="FFD9D9D9"/>
      </x:left>
      <x:top style="medium">
        <x:color rgb="FFD9D9D9"/>
      </x:top>
      <x:bottom style="medium">
        <x:color rgb="FFD9D9D9"/>
      </x:bottom>
    </x:border>
    <x:border>
      <x:right style="thin">
        <x:color rgb="FFD8D8D8"/>
      </x:right>
      <x:top style="medium">
        <x:color rgb="FFD8D8D8"/>
      </x:top>
      <x:bottom style="medium">
        <x:color rgb="FFD8D8D8"/>
      </x:bottom>
    </x:border>
    <x:border/>
    <x:border/>
    <x:border/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 applyFont="1" applyAlignment="1"/>
  </x:cellStyleXfs>
  <x:cellXfs count="493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1" xfId="0" applyFont="1" applyBorder="1" applyAlignment="1">
      <x:alignment horizontal="left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center"/>
    </x:xf>
    <x:xf numFmtId="0" fontId="3" fillId="0" borderId="4" xfId="0" applyFont="1" applyBorder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0" fontId="3" fillId="0" borderId="8" xfId="0" applyFont="1" applyBorder="1"/>
    <x:xf numFmtId="0" fontId="4" fillId="0" borderId="0" xfId="0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2" borderId="11" xfId="0" applyFont="1" applyFill="1" applyBorder="1"/>
    <x:xf numFmtId="0" fontId="5" fillId="2" borderId="12" xfId="0" applyFont="1" applyBorder="1"/>
    <x:xf numFmtId="0" fontId="5" fillId="2" borderId="13" xfId="0" applyFont="1" applyBorder="1"/>
    <x:xf numFmtId="0" fontId="5" fillId="2" borderId="14" xfId="0" applyFont="1" applyBorder="1"/>
    <x:xf numFmtId="0" fontId="5" fillId="0" borderId="15" xfId="0" applyFont="1" applyBorder="1" applyAlignment="1">
      <x:alignment vertical="center"/>
    </x:xf>
    <x:xf numFmtId="0" fontId="5" fillId="0" borderId="16" xfId="0" applyFont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5" fillId="3" borderId="17" xfId="0" applyFont="1" applyFill="1" applyBorder="1" applyAlignment="1">
      <x:alignment vertical="center"/>
    </x:xf>
    <x:xf numFmtId="0" fontId="5" fillId="3" borderId="18" xfId="0" applyFont="1" applyBorder="1" applyAlignment="1">
      <x:alignment vertical="center"/>
    </x:xf>
    <x:xf numFmtId="0" fontId="5" fillId="0" borderId="10" xfId="0" applyFont="1" applyBorder="1"/>
    <x:xf numFmtId="0" fontId="5" fillId="0" borderId="16" xfId="0" applyFont="1" applyBorder="1" applyAlignment="1">
      <x:alignment vertical="center"/>
    </x:xf>
    <x:xf numFmtId="0" fontId="5" fillId="2" borderId="17" xfId="0" applyFont="1" applyBorder="1"/>
    <x:xf numFmtId="0" fontId="4" fillId="2" borderId="19" xfId="0" applyFont="1" applyBorder="1" applyAlignment="1">
      <x:alignment vertical="center"/>
    </x:xf>
    <x:xf numFmtId="0" fontId="5" fillId="2" borderId="18" xfId="0" applyFont="1" applyBorder="1" applyAlignment="1">
      <x:alignment vertical="center"/>
    </x:xf>
    <x:xf numFmtId="0" fontId="5" fillId="2" borderId="17" xfId="0" applyFont="1" applyBorder="1" applyAlignment="1">
      <x:alignment vertical="center"/>
    </x:xf>
    <x:xf numFmtId="0" fontId="5" fillId="2" borderId="20" xfId="0" applyFont="1" applyBorder="1"/>
    <x:xf numFmtId="0" fontId="5" fillId="0" borderId="15" xfId="0" applyFont="1" applyBorder="1" applyAlignment="1">
      <x:alignment horizontal="left" vertical="center"/>
    </x:xf>
    <x:xf numFmtId="0" fontId="5" fillId="0" borderId="16" xfId="0" applyFont="1" applyBorder="1" applyAlignment="1">
      <x:alignment horizontal="left" vertical="center"/>
    </x:xf>
    <x:xf numFmtId="0" fontId="5" fillId="0" borderId="21" xfId="0" applyFont="1" applyBorder="1" applyAlignment="1">
      <x:alignment vertical="center"/>
    </x:xf>
    <x:xf numFmtId="0" fontId="5" fillId="3" borderId="22" xfId="0" applyFont="1" applyBorder="1" applyAlignment="1">
      <x:alignment vertical="center"/>
    </x:xf>
    <x:xf numFmtId="0" fontId="5" fillId="0" borderId="15" xfId="0" applyFont="1" applyBorder="1" applyAlignment="1">
      <x:alignment horizontal="left" vertical="center"/>
    </x:xf>
    <x:xf numFmtId="0" fontId="5" fillId="0" borderId="15" xfId="0" applyFont="1" applyBorder="1" applyAlignment="1">
      <x:alignment vertical="center"/>
    </x:xf>
    <x:xf numFmtId="0" fontId="5" fillId="2" borderId="22" xfId="0" applyFont="1" applyBorder="1" applyAlignment="1">
      <x:alignment vertical="center"/>
    </x:xf>
    <x:xf numFmtId="0" fontId="5" fillId="4" borderId="23" xfId="0" applyFont="1" applyFill="1" applyBorder="1" applyAlignment="1">
      <x:alignment vertical="center"/>
    </x:xf>
    <x:xf numFmtId="0" fontId="5" fillId="0" borderId="24" xfId="0" applyFont="1" applyBorder="1" applyAlignment="1">
      <x:alignment vertical="center"/>
    </x:xf>
    <x:xf numFmtId="0" fontId="5" fillId="0" borderId="25" xfId="0" applyFont="1" applyBorder="1" applyAlignment="1">
      <x:alignment vertical="center"/>
    </x:xf>
    <x:xf numFmtId="0" fontId="5" fillId="3" borderId="26" xfId="0" applyFont="1" applyBorder="1" applyAlignment="1">
      <x:alignment vertical="center"/>
    </x:xf>
    <x:xf numFmtId="0" fontId="5" fillId="0" borderId="27" xfId="0" applyFont="1" applyBorder="1" applyAlignment="1">
      <x:alignment vertical="center"/>
    </x:xf>
    <x:xf numFmtId="0" fontId="5" fillId="0" borderId="25" xfId="0" applyFont="1" applyBorder="1"/>
    <x:xf numFmtId="0" fontId="5" fillId="0" borderId="28" xfId="0" applyFont="1" applyBorder="1"/>
    <x:xf numFmtId="0" fontId="6" fillId="5" borderId="29" xfId="0" applyFont="1" applyFill="1" applyBorder="1" applyAlignment="1">
      <x:alignment horizontal="center" vertical="center"/>
    </x:xf>
    <x:xf numFmtId="0" fontId="3" fillId="0" borderId="30" xfId="0" applyFont="1" applyBorder="1"/>
    <x:xf numFmtId="0" fontId="3" fillId="0" borderId="31" xfId="0" applyFont="1" applyBorder="1"/>
    <x:xf numFmtId="0" fontId="6" fillId="5" borderId="32" xfId="0" applyFont="1" applyBorder="1" applyAlignment="1">
      <x:alignment horizontal="left" vertical="center" wrapText="1"/>
    </x:xf>
    <x:xf numFmtId="0" fontId="6" fillId="0" borderId="29" xfId="0" applyFont="1" applyBorder="1" applyAlignment="1">
      <x:alignment horizontal="left" vertical="center" wrapText="1"/>
    </x:xf>
    <x:xf numFmtId="0" fontId="7" fillId="0" borderId="29" xfId="0" applyFont="1" applyBorder="1" applyAlignment="1">
      <x:alignment horizontal="left" vertical="center" wrapText="1"/>
    </x:xf>
    <x:xf numFmtId="0" fontId="7" fillId="0" borderId="29" xfId="0" applyFont="1" applyBorder="1" applyAlignment="1">
      <x:alignment horizontal="left" vertical="center" wrapText="1"/>
    </x:xf>
    <x:xf numFmtId="14" fontId="7" fillId="0" borderId="29" xfId="0" applyNumberFormat="1" applyFont="1" applyBorder="1" applyAlignment="1">
      <x:alignment horizontal="left" vertical="center" wrapText="1"/>
    </x:xf>
    <x:xf numFmtId="14" fontId="7" fillId="0" borderId="32" xfId="0" applyNumberFormat="1" applyFont="1" applyBorder="1" applyAlignment="1">
      <x:alignment horizontal="left" vertical="center" wrapText="1"/>
    </x:xf>
    <x:xf numFmtId="0" fontId="8" fillId="0" borderId="0" xfId="0" applyFont="1"/>
    <x:xf numFmtId="0" fontId="7" fillId="0" borderId="29" xfId="0" applyFont="1" applyBorder="1" applyAlignment="1">
      <x:alignment vertical="top" wrapText="1"/>
    </x:xf>
    <x:xf numFmtId="0" fontId="7" fillId="0" borderId="32" xfId="0" applyFont="1" applyBorder="1" applyAlignment="1">
      <x:alignment horizontal="left" vertical="top" wrapText="1"/>
    </x:xf>
    <x:xf numFmtId="0" fontId="6" fillId="5" borderId="33" xfId="0" applyFont="1" applyBorder="1" applyAlignment="1">
      <x:alignment horizontal="left" vertical="center" wrapText="1"/>
    </x:xf>
    <x:xf numFmtId="3" fontId="7" fillId="0" borderId="34" xfId="0" applyNumberFormat="1" applyFont="1" applyBorder="1" applyAlignment="1">
      <x:alignment horizontal="left" vertical="center" wrapText="1"/>
    </x:xf>
    <x:xf numFmtId="0" fontId="3" fillId="0" borderId="35" xfId="0" applyFont="1" applyBorder="1"/>
    <x:xf numFmtId="0" fontId="7" fillId="0" borderId="33" xfId="0" applyFont="1" applyBorder="1" applyAlignment="1">
      <x:alignment horizontal="left" vertical="center" wrapText="1"/>
    </x:xf>
    <x:xf numFmtId="0" fontId="3" fillId="0" borderId="36" xfId="0" applyFont="1" applyBorder="1"/>
    <x:xf numFmtId="0" fontId="3" fillId="0" borderId="9" xfId="0" applyFont="1" applyBorder="1"/>
    <x:xf numFmtId="0" fontId="7" fillId="0" borderId="34" xfId="0" applyFont="1" applyBorder="1" applyAlignment="1">
      <x:alignment horizontal="left" vertical="center" wrapText="1"/>
    </x:xf>
    <x:xf numFmtId="0" fontId="3" fillId="0" borderId="37" xfId="0" applyFont="1" applyBorder="1"/>
    <x:xf numFmtId="0" fontId="3" fillId="0" borderId="38" xfId="0" applyFont="1" applyBorder="1"/>
    <x:xf numFmtId="0" fontId="3" fillId="0" borderId="21" xfId="0" applyFont="1" applyBorder="1"/>
    <x:xf numFmtId="0" fontId="3" fillId="0" borderId="16" xfId="0" applyFont="1" applyBorder="1"/>
    <x:xf numFmtId="0" fontId="3" fillId="0" borderId="39" xfId="0" applyFont="1" applyBorder="1"/>
    <x:xf numFmtId="0" fontId="9" fillId="0" borderId="0" xfId="0" applyFont="1"/>
    <x:xf numFmtId="0" fontId="10" fillId="0" borderId="0" xfId="0" applyFont="1"/>
    <x:xf numFmtId="164" fontId="10" fillId="0" borderId="0" xfId="0" applyNumberFormat="1" applyFont="1"/>
    <x:xf numFmtId="0" fontId="11" fillId="6" borderId="32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/>
    </x:xf>
    <x:xf numFmtId="0" fontId="13" fillId="7" borderId="34" xfId="0" applyFont="1" applyFill="1" applyBorder="1" applyAlignment="1">
      <x:alignment horizontal="center" vertical="center" wrapText="1"/>
    </x:xf>
    <x:xf numFmtId="0" fontId="14" fillId="0" borderId="34" xfId="0" applyFont="1" applyBorder="1" applyAlignment="1">
      <x:alignment horizontal="center" vertical="center"/>
    </x:xf>
    <x:xf numFmtId="0" fontId="14" fillId="7" borderId="33" xfId="0" applyFont="1" applyBorder="1" applyAlignment="1">
      <x:alignment horizontal="center" vertical="center" wrapText="1"/>
    </x:xf>
    <x:xf numFmtId="0" fontId="14" fillId="7" borderId="32" xfId="0" applyFont="1" applyBorder="1" applyAlignment="1">
      <x:alignment horizontal="center" vertical="center" wrapText="1"/>
    </x:xf>
    <x:xf numFmtId="0" fontId="14" fillId="7" borderId="29" xfId="0" applyFont="1" applyBorder="1" applyAlignment="1">
      <x:alignment horizontal="center" vertical="center" wrapText="1"/>
    </x:xf>
    <x:xf numFmtId="164" fontId="14" fillId="8" borderId="33" xfId="0" applyNumberFormat="1" applyFont="1" applyFill="1" applyBorder="1" applyAlignment="1">
      <x:alignment horizontal="center" vertical="center" wrapText="1"/>
    </x:xf>
    <x:xf numFmtId="0" fontId="15" fillId="0" borderId="29" xfId="0" applyFont="1" applyBorder="1" applyAlignment="1">
      <x:alignment horizontal="center" vertical="center"/>
    </x:xf>
    <x:xf numFmtId="0" fontId="14" fillId="7" borderId="32" xfId="0" applyFont="1" applyBorder="1" applyAlignment="1">
      <x:alignment wrapText="1"/>
    </x:xf>
    <x:xf numFmtId="0" fontId="16" fillId="0" borderId="32" xfId="0" applyFont="1" applyBorder="1" applyAlignment="1">
      <x:alignment horizontal="center" vertical="center"/>
    </x:xf>
    <x:xf numFmtId="0" fontId="14" fillId="9" borderId="29" xfId="0" applyFont="1" applyFill="1" applyBorder="1" applyAlignment="1">
      <x:alignment vertical="center" wrapText="1"/>
    </x:xf>
    <x:xf numFmtId="0" fontId="3" fillId="0" borderId="40" xfId="0" applyFont="1" applyBorder="1"/>
    <x:xf numFmtId="0" fontId="11" fillId="6" borderId="32" xfId="0" applyFont="1" applyBorder="1" applyAlignment="1">
      <x:alignment vertical="center" wrapText="1"/>
    </x:xf>
    <x:xf numFmtId="0" fontId="11" fillId="6" borderId="32" xfId="0" applyFont="1" applyBorder="1" applyAlignment="1">
      <x:alignment vertical="center"/>
    </x:xf>
    <x:xf numFmtId="3" fontId="11" fillId="6" borderId="32" xfId="0" applyNumberFormat="1" applyFont="1" applyBorder="1" applyAlignment="1">
      <x:alignment horizontal="center" vertical="center"/>
    </x:xf>
    <x:xf numFmtId="164" fontId="11" fillId="6" borderId="32" xfId="0" applyNumberFormat="1" applyFont="1" applyBorder="1" applyAlignment="1">
      <x:alignment horizontal="center" vertical="center"/>
    </x:xf>
    <x:xf numFmtId="0" fontId="17" fillId="10" borderId="32" xfId="0" applyFont="1" applyFill="1" applyBorder="1" applyAlignment="1">
      <x:alignment vertical="center"/>
    </x:xf>
    <x:xf numFmtId="0" fontId="17" fillId="4" borderId="32" xfId="0" applyFont="1" applyBorder="1" applyAlignment="1">
      <x:alignment vertical="center"/>
    </x:xf>
    <x:xf numFmtId="0" fontId="17" fillId="0" borderId="32" xfId="0" applyFont="1" applyBorder="1" applyAlignment="1">
      <x:alignment vertical="center"/>
    </x:xf>
    <x:xf numFmtId="0" fontId="11" fillId="6" borderId="41" xfId="0" applyFont="1" applyBorder="1" applyAlignment="1">
      <x:alignment vertical="center"/>
    </x:xf>
    <x:xf numFmtId="3" fontId="11" fillId="6" borderId="41" xfId="0" applyNumberFormat="1" applyFont="1" applyBorder="1" applyAlignment="1">
      <x:alignment horizontal="center" vertical="center"/>
    </x:xf>
    <x:xf numFmtId="0" fontId="11" fillId="6" borderId="32" xfId="0" applyFont="1" applyBorder="1" applyAlignment="1">
      <x:alignment vertical="center" wrapText="1"/>
    </x:xf>
    <x:xf numFmtId="0" fontId="18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vertical="center"/>
    </x:xf>
    <x:xf numFmtId="0" fontId="7" fillId="0" borderId="0" xfId="0" applyFont="1" applyAlignment="1">
      <x:alignment horizontal="right" vertical="center"/>
    </x:xf>
    <x:xf numFmtId="0" fontId="6" fillId="0" borderId="0" xfId="0" applyFont="1" applyAlignment="1">
      <x:alignment horizontal="left" vertical="center"/>
    </x:xf>
    <x:xf numFmtId="0" fontId="19" fillId="11" borderId="42" xfId="0" applyFont="1" applyFill="1" applyBorder="1" applyAlignment="1">
      <x:alignment horizontal="center" vertical="center" wrapText="1"/>
    </x:xf>
    <x:xf numFmtId="0" fontId="19" fillId="11" borderId="43" xfId="0" applyFont="1" applyBorder="1" applyAlignment="1">
      <x:alignment horizontal="center" vertical="center" wrapText="1"/>
    </x:xf>
    <x:xf numFmtId="0" fontId="19" fillId="11" borderId="44" xfId="0" applyFont="1" applyBorder="1" applyAlignment="1">
      <x:alignment horizontal="center" vertical="center" wrapText="1"/>
    </x:xf>
    <x:xf numFmtId="0" fontId="19" fillId="11" borderId="17" xfId="0" applyFont="1" applyBorder="1" applyAlignment="1">
      <x:alignment horizontal="center" vertical="center" wrapText="1"/>
    </x:xf>
    <x:xf numFmtId="0" fontId="6" fillId="12" borderId="45" xfId="0" applyFont="1" applyFill="1" applyBorder="1" applyAlignment="1">
      <x:alignment horizontal="center" vertical="center" wrapText="1"/>
    </x:xf>
    <x:xf numFmtId="0" fontId="20" fillId="12" borderId="46" xfId="0" applyFont="1" applyBorder="1" applyAlignment="1">
      <x:alignment horizontal="left" vertical="center" wrapText="1"/>
    </x:xf>
    <x:xf numFmtId="0" fontId="3" fillId="0" borderId="47" xfId="0" applyFont="1" applyBorder="1"/>
    <x:xf numFmtId="0" fontId="20" fillId="12" borderId="17" xfId="0" applyFont="1" applyBorder="1" applyAlignment="1">
      <x:alignment horizontal="right" vertical="center" wrapText="1"/>
    </x:xf>
    <x:xf numFmtId="0" fontId="20" fillId="12" borderId="48" xfId="0" applyFont="1" applyBorder="1" applyAlignment="1">
      <x:alignment horizontal="right" vertical="center" wrapText="1"/>
    </x:xf>
    <x:xf numFmtId="0" fontId="7" fillId="0" borderId="49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left" vertical="center" wrapText="1"/>
    </x:xf>
    <x:xf numFmtId="0" fontId="21" fillId="0" borderId="50" xfId="0" applyFont="1" applyBorder="1" applyAlignment="1">
      <x:alignment horizontal="right" vertical="center" wrapText="1"/>
    </x:xf>
    <x:xf numFmtId="0" fontId="21" fillId="0" borderId="51" xfId="0" applyFont="1" applyBorder="1" applyAlignment="1">
      <x:alignment horizontal="right" vertical="center" wrapText="1"/>
    </x:xf>
    <x:xf numFmtId="14" fontId="21" fillId="0" borderId="50" xfId="0" applyNumberFormat="1" applyFont="1" applyBorder="1" applyAlignment="1">
      <x:alignment horizontal="left" vertical="center" wrapText="1"/>
    </x:xf>
    <x:xf numFmtId="0" fontId="21" fillId="13" borderId="50" xfId="0" applyFont="1" applyFill="1" applyBorder="1" applyAlignment="1">
      <x:alignment horizontal="left" vertical="center" wrapText="1"/>
    </x:xf>
    <x:xf numFmtId="14" fontId="21" fillId="13" borderId="50" xfId="0" applyNumberFormat="1" applyFont="1" applyBorder="1" applyAlignment="1">
      <x:alignment horizontal="left" vertical="center" wrapText="1"/>
    </x:xf>
    <x:xf numFmtId="0" fontId="21" fillId="13" borderId="50" xfId="0" applyFont="1" applyBorder="1" applyAlignment="1">
      <x:alignment horizontal="right" vertical="center" wrapText="1"/>
    </x:xf>
    <x:xf numFmtId="0" fontId="21" fillId="0" borderId="46" xfId="0" applyFont="1" applyBorder="1" applyAlignment="1">
      <x:alignment horizontal="left" vertical="center" wrapText="1"/>
    </x:xf>
    <x:xf numFmtId="0" fontId="21" fillId="0" borderId="52" xfId="0" applyFont="1" applyBorder="1" applyAlignment="1">
      <x:alignment horizontal="right" vertical="center" wrapText="1"/>
    </x:xf>
    <x:xf numFmtId="0" fontId="20" fillId="12" borderId="53" xfId="0" applyFont="1" applyBorder="1" applyAlignment="1">
      <x:alignment horizontal="center" vertical="center" wrapText="1"/>
    </x:xf>
    <x:xf numFmtId="0" fontId="20" fillId="12" borderId="53" xfId="0" applyFont="1" applyBorder="1" applyAlignment="1">
      <x:alignment vertical="center" wrapText="1"/>
    </x:xf>
    <x:xf numFmtId="0" fontId="20" fillId="14" borderId="49" xfId="0" applyFont="1" applyFill="1" applyBorder="1" applyAlignment="1">
      <x:alignment horizontal="center" vertical="center" wrapText="1"/>
    </x:xf>
    <x:xf numFmtId="0" fontId="20" fillId="14" borderId="46" xfId="0" applyFont="1" applyBorder="1" applyAlignment="1">
      <x:alignment vertical="center" wrapText="1"/>
    </x:xf>
    <x:xf numFmtId="0" fontId="3" fillId="0" borderId="54" xfId="0" applyFont="1" applyBorder="1"/>
    <x:xf numFmtId="0" fontId="3" fillId="0" borderId="55" xfId="0" applyFont="1" applyBorder="1"/>
    <x:xf numFmtId="0" fontId="21" fillId="4" borderId="50" xfId="0" applyFont="1" applyBorder="1" applyAlignment="1">
      <x:alignment vertical="center" wrapText="1"/>
    </x:xf>
    <x:xf numFmtId="0" fontId="21" fillId="4" borderId="50" xfId="0" applyFont="1" applyBorder="1" applyAlignment="1">
      <x:alignment horizontal="center" vertical="center" wrapText="1"/>
    </x:xf>
    <x:xf numFmtId="0" fontId="21" fillId="4" borderId="50" xfId="0" applyFont="1" applyBorder="1" applyAlignment="1">
      <x:alignment horizontal="right" vertical="center" wrapText="1"/>
    </x:xf>
    <x:xf numFmtId="0" fontId="21" fillId="4" borderId="51" xfId="0" applyFont="1" applyBorder="1" applyAlignment="1">
      <x:alignment horizontal="right" vertical="center" wrapText="1"/>
    </x:xf>
    <x:xf numFmtId="0" fontId="21" fillId="4" borderId="53" xfId="0" applyFont="1" applyBorder="1" applyAlignment="1">
      <x:alignment vertical="center" wrapText="1"/>
    </x:xf>
    <x:xf numFmtId="0" fontId="20" fillId="14" borderId="56" xfId="0" applyFont="1" applyBorder="1" applyAlignment="1">
      <x:alignment horizontal="left" vertical="center" wrapText="1"/>
    </x:xf>
    <x:xf numFmtId="0" fontId="20" fillId="4" borderId="51" xfId="0" applyFont="1" applyBorder="1" applyAlignment="1">
      <x:alignment horizontal="right" vertical="center" wrapText="1"/>
    </x:xf>
    <x:xf numFmtId="0" fontId="21" fillId="4" borderId="57" xfId="0" applyFont="1" applyBorder="1" applyAlignment="1">
      <x:alignment horizontal="right" vertical="center" wrapText="1"/>
    </x:xf>
    <x:xf numFmtId="0" fontId="20" fillId="14" borderId="50" xfId="0" applyFont="1" applyBorder="1" applyAlignment="1">
      <x:alignment horizontal="center" vertical="center" wrapText="1"/>
    </x:xf>
    <x:xf numFmtId="0" fontId="21" fillId="4" borderId="58" xfId="0" applyFont="1" applyBorder="1" applyAlignment="1">
      <x:alignment horizontal="right" vertical="center" wrapText="1"/>
    </x:xf>
    <x:xf numFmtId="0" fontId="21" fillId="4" borderId="59" xfId="0" applyFont="1" applyBorder="1" applyAlignment="1">
      <x:alignment vertical="center" wrapText="1"/>
    </x:xf>
    <x:xf numFmtId="0" fontId="21" fillId="4" borderId="60" xfId="0" applyFont="1" applyBorder="1" applyAlignment="1">
      <x:alignment vertical="center" wrapText="1"/>
    </x:xf>
    <x:xf numFmtId="9" fontId="5" fillId="0" borderId="0" xfId="0" applyNumberFormat="1" applyFont="1"/>
    <x:xf numFmtId="0" fontId="20" fillId="15" borderId="61" xfId="0" applyFont="1" applyFill="1" applyBorder="1" applyAlignment="1">
      <x:alignment horizontal="left" vertical="center" wrapText="1"/>
    </x:xf>
    <x:xf numFmtId="0" fontId="20" fillId="15" borderId="62" xfId="0" applyFont="1" applyBorder="1" applyAlignment="1">
      <x:alignment horizontal="center" vertical="center" wrapText="1"/>
    </x:xf>
    <x:xf numFmtId="0" fontId="20" fillId="15" borderId="62" xfId="0" applyFont="1" applyBorder="1" applyAlignment="1">
      <x:alignment horizontal="right" vertical="center" wrapText="1"/>
    </x:xf>
    <x:xf numFmtId="0" fontId="20" fillId="15" borderId="63" xfId="0" applyFont="1" applyBorder="1" applyAlignment="1">
      <x:alignment horizontal="right" vertical="center" wrapText="1"/>
    </x:xf>
    <x:xf numFmtId="0" fontId="22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0" fontId="24" fillId="0" borderId="0" xfId="0" applyFont="1"/>
    <x:xf numFmtId="0" fontId="24" fillId="0" borderId="0" xfId="0" applyFont="1" applyAlignment="1">
      <x:alignment horizontal="left"/>
    </x:xf>
    <x:xf numFmtId="0" fontId="24" fillId="0" borderId="0" xfId="0" applyFont="1" applyAlignment="1">
      <x:alignment horizontal="center"/>
    </x:xf>
    <x:xf numFmtId="0" fontId="25" fillId="0" borderId="0" xfId="0" applyFont="1" applyAlignment="1">
      <x:alignment vertical="center"/>
    </x:xf>
    <x:xf numFmtId="0" fontId="26" fillId="0" borderId="0" xfId="0" applyFont="1"/>
    <x:xf numFmtId="0" fontId="25" fillId="0" borderId="0" xfId="0" applyFont="1" applyAlignment="1">
      <x:alignment horizontal="left"/>
    </x:xf>
    <x:xf numFmtId="0" fontId="24" fillId="0" borderId="0" xfId="0" applyFont="1" applyAlignment="1">
      <x:alignment horizontal="right" vertical="center"/>
    </x:xf>
    <x:xf numFmtId="165" fontId="24" fillId="0" borderId="64" xfId="0" applyNumberFormat="1" applyFont="1" applyBorder="1" applyAlignment="1">
      <x:alignment horizontal="center" vertical="center"/>
    </x:xf>
    <x:xf numFmtId="0" fontId="3" fillId="0" borderId="65" xfId="0" applyFont="1" applyBorder="1"/>
    <x:xf numFmtId="0" fontId="24" fillId="0" borderId="66" xfId="0" applyFont="1" applyBorder="1" applyAlignment="1">
      <x:alignment horizontal="center" vertical="center"/>
    </x:xf>
    <x:xf numFmtId="0" fontId="24" fillId="0" borderId="67" xfId="0" applyFont="1" applyBorder="1" applyAlignment="1">
      <x:alignment horizontal="center" vertical="center"/>
    </x:xf>
    <x:xf numFmtId="14" fontId="27" fillId="0" borderId="68" xfId="0" applyNumberFormat="1" applyFont="1" applyBorder="1"/>
    <x:xf numFmtId="14" fontId="24" fillId="15" borderId="69" xfId="0" applyNumberFormat="1" applyFont="1" applyBorder="1" applyAlignment="1">
      <x:alignment horizontal="center" vertical="center" wrapText="1"/>
    </x:xf>
    <x:xf numFmtId="0" fontId="28" fillId="16" borderId="70" xfId="0" applyFont="1" applyFill="1" applyBorder="1" applyAlignment="1">
      <x:alignment horizontal="center" vertical="center"/>
    </x:xf>
    <x:xf numFmtId="0" fontId="28" fillId="16" borderId="70" xfId="0" applyFont="1" applyBorder="1" applyAlignment="1">
      <x:alignment horizontal="left" vertical="center"/>
    </x:xf>
    <x:xf numFmtId="0" fontId="28" fillId="16" borderId="70" xfId="0" applyFont="1" applyBorder="1" applyAlignment="1">
      <x:alignment horizontal="center" vertical="center" wrapText="1"/>
    </x:xf>
    <x:xf numFmtId="0" fontId="28" fillId="17" borderId="70" xfId="0" applyFont="1" applyFill="1" applyBorder="1" applyAlignment="1">
      <x:alignment horizontal="center" vertical="center" wrapText="1"/>
    </x:xf>
    <x:xf numFmtId="0" fontId="24" fillId="18" borderId="71" xfId="0" applyFont="1" applyFill="1" applyBorder="1" applyAlignment="1">
      <x:alignment horizontal="center" vertical="center" wrapText="0"/>
    </x:xf>
    <x:xf numFmtId="0" fontId="24" fillId="0" borderId="72" xfId="0" applyFont="1" applyBorder="1" applyAlignment="1">
      <x:alignment horizontal="center" vertical="center"/>
    </x:xf>
    <x:xf numFmtId="0" fontId="24" fillId="0" borderId="72" xfId="0" applyFont="1" applyBorder="1" applyAlignment="1">
      <x:alignment horizontal="left" vertical="center"/>
    </x:xf>
    <x:xf numFmtId="9" fontId="24" fillId="0" borderId="72" xfId="0" applyNumberFormat="1" applyFont="1" applyBorder="1" applyAlignment="1">
      <x:alignment horizontal="center" vertical="center"/>
    </x:xf>
    <x:xf numFmtId="166" fontId="24" fillId="0" borderId="72" xfId="0" applyNumberFormat="1" applyFont="1" applyBorder="1" applyAlignment="1">
      <x:alignment horizontal="center" vertical="center"/>
    </x:xf>
    <x:xf numFmtId="0" fontId="24" fillId="0" borderId="7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29" fillId="18" borderId="72" xfId="0" applyFont="1" applyBorder="1" applyAlignment="1">
      <x:alignment horizontal="center" vertical="center"/>
    </x:xf>
    <x:xf numFmtId="0" fontId="29" fillId="18" borderId="74" xfId="0" applyFont="1" applyBorder="1" applyAlignment="1">
      <x:alignment vertical="center"/>
    </x:xf>
    <x:xf numFmtId="0" fontId="3" fillId="0" borderId="75" xfId="0" applyFont="1" applyBorder="1"/>
    <x:xf numFmtId="9" fontId="24" fillId="18" borderId="72" xfId="0" applyNumberFormat="1" applyFont="1" applyBorder="1" applyAlignment="1">
      <x:alignment horizontal="center" vertical="center"/>
    </x:xf>
    <x:xf numFmtId="14" fontId="29" fillId="18" borderId="72" xfId="0" applyNumberFormat="1" applyFont="1" applyBorder="1" applyAlignment="1">
      <x:alignment horizontal="center" vertical="center"/>
    </x:xf>
    <x:xf numFmtId="0" fontId="24" fillId="18" borderId="72" xfId="0" applyFont="1" applyBorder="1" applyAlignment="1">
      <x:alignment horizontal="center" vertical="center"/>
    </x:xf>
    <x:xf numFmtId="0" fontId="30" fillId="0" borderId="0" xfId="0" applyFont="1" applyAlignment="1">
      <x:alignment vertical="center"/>
    </x:xf>
    <x:xf numFmtId="0" fontId="29" fillId="19" borderId="72" xfId="0" applyFont="1" applyFill="1" applyBorder="1" applyAlignment="1">
      <x:alignment horizontal="center" vertical="center"/>
    </x:xf>
    <x:xf numFmtId="0" fontId="24" fillId="19" borderId="72" xfId="0" applyFont="1" applyBorder="1" applyAlignment="1">
      <x:alignment horizontal="left" vertical="center"/>
    </x:xf>
    <x:xf numFmtId="9" fontId="24" fillId="19" borderId="72" xfId="0" applyNumberFormat="1" applyFont="1" applyBorder="1" applyAlignment="1">
      <x:alignment horizontal="center" vertical="center"/>
    </x:xf>
    <x:xf numFmtId="14" fontId="24" fillId="19" borderId="72" xfId="0" applyNumberFormat="1" applyFont="1" applyBorder="1" applyAlignment="1">
      <x:alignment horizontal="center" vertical="center"/>
    </x:xf>
    <x:xf numFmtId="0" fontId="24" fillId="19" borderId="72" xfId="0" applyFont="1" applyBorder="1" applyAlignment="1">
      <x:alignment horizontal="center" vertical="center"/>
    </x:xf>
    <x:xf numFmtId="0" fontId="24" fillId="4" borderId="76" xfId="0" applyFont="1" applyBorder="1" applyAlignment="1">
      <x:alignment vertical="center"/>
    </x:xf>
    <x:xf numFmtId="0" fontId="30" fillId="4" borderId="76" xfId="0" applyFont="1" applyBorder="1" applyAlignment="1">
      <x:alignment vertical="center"/>
    </x:xf>
    <x:xf numFmtId="2" fontId="24" fillId="4" borderId="76" xfId="0" applyNumberFormat="1" applyFont="1" applyBorder="1" applyAlignment="1">
      <x:alignment vertical="center"/>
    </x:xf>
    <x:xf numFmtId="14" fontId="24" fillId="18" borderId="72" xfId="0" applyNumberFormat="1" applyFont="1" applyBorder="1" applyAlignment="1">
      <x:alignment horizontal="center" vertical="center"/>
    </x:xf>
    <x:xf numFmtId="0" fontId="29" fillId="19" borderId="77" xfId="0" applyFont="1" applyBorder="1" applyAlignment="1">
      <x:alignment horizontal="left" vertical="center"/>
    </x:xf>
    <x:xf numFmtId="14" fontId="29" fillId="19" borderId="72" xfId="0" applyNumberFormat="1" applyFont="1" applyBorder="1" applyAlignment="1">
      <x:alignment horizontal="center" vertical="center"/>
    </x:xf>
    <x:xf numFmtId="0" fontId="24" fillId="19" borderId="77" xfId="0" applyFont="1" applyBorder="1" applyAlignment="1">
      <x:alignment horizontal="left" vertical="center"/>
    </x:xf>
    <x:xf numFmtId="0" fontId="31" fillId="19" borderId="72" xfId="0" applyFont="1" applyBorder="1" applyAlignment="1">
      <x:alignment horizontal="left" vertical="center"/>
    </x:xf>
    <x:xf numFmtId="14" fontId="31" fillId="19" borderId="72" xfId="0" applyNumberFormat="1" applyFont="1" applyBorder="1" applyAlignment="1">
      <x:alignment horizontal="center" vertical="center"/>
    </x:xf>
    <x:xf numFmtId="0" fontId="31" fillId="19" borderId="72" xfId="0" applyFont="1" applyBorder="1" applyAlignment="1">
      <x:alignment horizontal="center" vertical="center"/>
    </x:xf>
    <x:xf numFmtId="0" fontId="32" fillId="20" borderId="78" xfId="0" applyFont="1" applyFill="1" applyBorder="1" applyAlignment="1">
      <x:alignment horizontal="left" vertical="center"/>
    </x:xf>
    <x:xf numFmtId="0" fontId="24" fillId="19" borderId="79" xfId="0" applyFont="1" applyBorder="1" applyAlignment="1">
      <x:alignment horizontal="left" vertical="center"/>
    </x:xf>
    <x:xf numFmtId="0" fontId="24" fillId="0" borderId="73" xfId="0" applyFont="1" applyBorder="1" applyAlignment="1">
      <x:alignment horizontal="right" vertical="center"/>
    </x:xf>
    <x:xf numFmtId="9" fontId="29" fillId="19" borderId="72" xfId="0" applyNumberFormat="1" applyFont="1" applyBorder="1" applyAlignment="1">
      <x:alignment horizontal="center" vertical="center"/>
    </x:xf>
    <x:xf numFmtId="0" fontId="29" fillId="19" borderId="72" xfId="0" applyFont="1" applyBorder="1" applyAlignment="1">
      <x:alignment horizontal="left" vertical="center"/>
    </x:xf>
    <x:xf numFmtId="0" fontId="29" fillId="18" borderId="77" xfId="0" applyFont="1" applyBorder="1" applyAlignment="1">
      <x:alignment vertical="center"/>
    </x:xf>
    <x:xf numFmtId="0" fontId="29" fillId="18" borderId="79" xfId="0" applyFont="1" applyBorder="1" applyAlignment="1">
      <x:alignment vertical="center"/>
    </x:xf>
    <x:xf numFmtId="0" fontId="5" fillId="0" borderId="0" xfId="0" applyFont="1" applyAlignment="1">
      <x:alignment horizontal="center"/>
    </x:xf>
    <x:xf numFmtId="0" fontId="7" fillId="0" borderId="0" xfId="0" applyFont="1"/>
    <x:xf numFmtId="0" fontId="6" fillId="8" borderId="32" xfId="0" applyFont="1" applyBorder="1" applyAlignment="1">
      <x:alignment horizontal="center" vertical="center" wrapText="1"/>
    </x:xf>
    <x:xf numFmtId="0" fontId="6" fillId="19" borderId="29" xfId="0" applyFont="1" applyBorder="1" applyAlignment="1">
      <x:alignment vertical="top" wrapText="1"/>
    </x:xf>
    <x:xf numFmtId="0" fontId="7" fillId="0" borderId="32" xfId="0" applyFont="1" applyBorder="1" applyAlignment="1">
      <x:alignment horizontal="left" vertical="top" wrapText="1"/>
    </x:xf>
    <x:xf numFmtId="49" fontId="7" fillId="0" borderId="32" xfId="0" applyNumberFormat="1" applyFont="1" applyBorder="1" applyAlignment="1">
      <x:alignment horizontal="center" vertical="top" wrapText="1"/>
    </x:xf>
    <x:xf numFmtId="0" fontId="33" fillId="0" borderId="32" xfId="0" applyFont="1" applyBorder="1" applyAlignment="1">
      <x:alignment horizontal="left" vertical="top" wrapText="1"/>
    </x:xf>
    <x:xf numFmtId="0" fontId="7" fillId="4" borderId="32" xfId="0" applyFont="1" applyBorder="1" applyAlignment="1">
      <x:alignment horizontal="left" vertical="top" wrapText="1"/>
    </x:xf>
    <x:xf numFmtId="0" fontId="7" fillId="0" borderId="0" xfId="0" applyFont="1" applyAlignment="1">
      <x:alignment wrapText="1"/>
    </x:xf>
    <x:xf numFmtId="49" fontId="7" fillId="0" borderId="0" xfId="0" applyNumberFormat="1" applyFont="1" applyAlignment="1">
      <x:alignment horizontal="center" wrapText="1"/>
    </x:xf>
    <x:xf numFmtId="49" fontId="7" fillId="0" borderId="0" xfId="0" applyNumberFormat="1" applyFont="1" applyAlignment="1">
      <x:alignment wrapText="1"/>
    </x:xf>
    <x:xf numFmtId="0" fontId="9" fillId="0" borderId="34" xfId="0" applyFont="1" applyBorder="1"/>
    <x:xf numFmtId="0" fontId="9" fillId="0" borderId="37" xfId="0" applyFont="1" applyBorder="1"/>
    <x:xf numFmtId="0" fontId="9" fillId="0" borderId="37" xfId="0" applyFont="1" applyBorder="1" applyAlignment="1">
      <x:alignment horizontal="center" vertical="top" wrapText="1"/>
    </x:xf>
    <x:xf numFmtId="0" fontId="9" fillId="0" borderId="37" xfId="0" applyFont="1" applyBorder="1" applyAlignment="1">
      <x:alignment horizontal="center"/>
    </x:xf>
    <x:xf numFmtId="0" fontId="34" fillId="13" borderId="13" xfId="0" applyFont="1" applyBorder="1" applyAlignment="1">
      <x:alignment horizontal="left" vertical="top" wrapText="1"/>
    </x:xf>
    <x:xf numFmtId="0" fontId="35" fillId="13" borderId="13" xfId="0" applyFont="1" applyBorder="1" applyAlignment="1">
      <x:alignment horizontal="left" vertical="top" wrapText="1"/>
    </x:xf>
    <x:xf numFmtId="0" fontId="35" fillId="13" borderId="13" xfId="0" applyFont="1" applyBorder="1" applyAlignment="1">
      <x:alignment horizontal="center" vertical="top"/>
    </x:xf>
    <x:xf numFmtId="15" fontId="34" fillId="13" borderId="13" xfId="0" applyNumberFormat="1" applyFont="1" applyBorder="1" applyAlignment="1">
      <x:alignment horizontal="center" vertical="top" wrapText="1"/>
    </x:xf>
    <x:xf numFmtId="0" fontId="35" fillId="0" borderId="13" xfId="0" applyFont="1" applyBorder="1" applyAlignment="1">
      <x:alignment horizontal="left" vertical="top" wrapText="1"/>
    </x:xf>
    <x:xf numFmtId="0" fontId="35" fillId="0" borderId="12" xfId="0" applyFont="1" applyBorder="1" applyAlignment="1">
      <x:alignment vertical="top" wrapText="1"/>
    </x:xf>
    <x:xf numFmtId="0" fontId="9" fillId="0" borderId="21" xfId="0" applyFont="1" applyBorder="1"/>
    <x:xf numFmtId="0" fontId="9" fillId="0" borderId="0" xfId="0" applyFont="1" applyAlignment="1">
      <x:alignment horizontal="center" vertical="top" wrapText="1"/>
    </x:xf>
    <x:xf numFmtId="0" fontId="9" fillId="0" borderId="0" xfId="0" applyFont="1" applyAlignment="1">
      <x:alignment horizontal="center"/>
    </x:xf>
    <x:xf numFmtId="0" fontId="34" fillId="13" borderId="17" xfId="0" applyFont="1" applyBorder="1" applyAlignment="1">
      <x:alignment vertical="top" wrapText="1"/>
    </x:xf>
    <x:xf numFmtId="0" fontId="36" fillId="4" borderId="17" xfId="0" applyFont="1" applyBorder="1" applyAlignment="1">
      <x:alignment horizontal="left"/>
    </x:xf>
    <x:xf numFmtId="15" fontId="34" fillId="13" borderId="17" xfId="0" applyNumberFormat="1" applyFont="1" applyBorder="1" applyAlignment="1">
      <x:alignment horizontal="center" vertical="top" wrapText="1"/>
    </x:xf>
    <x:xf numFmtId="0" fontId="35" fillId="0" borderId="17" xfId="0" applyFont="1" applyBorder="1" applyAlignment="1">
      <x:alignment horizontal="left" vertical="top" wrapText="1"/>
    </x:xf>
    <x:xf numFmtId="0" fontId="35" fillId="0" borderId="18" xfId="0" applyFont="1" applyBorder="1" applyAlignment="1">
      <x:alignment vertical="top" wrapText="1"/>
    </x:xf>
    <x:xf numFmtId="0" fontId="2" fillId="4" borderId="80" xfId="0" applyFont="1" applyBorder="1" applyAlignment="1">
      <x:alignment horizontal="left" wrapText="1"/>
    </x:xf>
    <x:xf numFmtId="0" fontId="3" fillId="0" borderId="81" xfId="0" applyFont="1" applyBorder="1"/>
    <x:xf numFmtId="0" fontId="3" fillId="0" borderId="82" xfId="0" applyFont="1" applyBorder="1"/>
    <x:xf numFmtId="14" fontId="35" fillId="4" borderId="29" xfId="0" applyNumberFormat="1" applyFont="1" applyBorder="1" applyAlignment="1">
      <x:alignment horizontal="center" vertical="top" wrapText="1"/>
    </x:xf>
    <x:xf numFmtId="0" fontId="9" fillId="13" borderId="18" xfId="0" applyFont="1" applyBorder="1" applyAlignment="1">
      <x:alignment horizontal="center" vertical="top" wrapText="1"/>
    </x:xf>
    <x:xf numFmtId="0" fontId="35" fillId="13" borderId="17" xfId="0" applyFont="1" applyBorder="1" applyAlignment="1">
      <x:alignment vertical="top" wrapText="1"/>
    </x:xf>
    <x:xf numFmtId="0" fontId="9" fillId="13" borderId="17" xfId="0" applyFont="1" applyBorder="1" applyAlignment="1">
      <x:alignment vertical="top" wrapText="1"/>
    </x:xf>
    <x:xf numFmtId="0" fontId="9" fillId="13" borderId="17" xfId="0" applyFont="1" applyBorder="1" applyAlignment="1">
      <x:alignment horizontal="left" vertical="top" wrapText="1"/>
    </x:xf>
    <x:xf numFmtId="15" fontId="4" fillId="13" borderId="17" xfId="0" applyNumberFormat="1" applyFont="1" applyBorder="1" applyAlignment="1">
      <x:alignment horizontal="center" vertical="top"/>
    </x:xf>
    <x:xf numFmtId="15" fontId="9" fillId="13" borderId="32" xfId="0" applyNumberFormat="1" applyFont="1" applyBorder="1" applyAlignment="1">
      <x:alignment horizontal="center" vertical="top" wrapText="1"/>
    </x:xf>
    <x:xf numFmtId="0" fontId="9" fillId="21" borderId="32" xfId="0" applyFont="1" applyFill="1" applyBorder="1" applyAlignment="1">
      <x:alignment horizontal="center" vertical="top" wrapText="1"/>
    </x:xf>
    <x:xf numFmtId="0" fontId="37" fillId="13" borderId="18" xfId="0" applyFont="1" applyBorder="1" applyAlignment="1">
      <x:alignment horizontal="center" vertical="top" wrapText="1"/>
    </x:xf>
    <x:xf numFmtId="0" fontId="35" fillId="13" borderId="17" xfId="0" applyFont="1" applyBorder="1" applyAlignment="1">
      <x:alignment vertical="center" wrapText="1"/>
    </x:xf>
    <x:xf numFmtId="0" fontId="9" fillId="13" borderId="17" xfId="0" applyFont="1" applyBorder="1" applyAlignment="1">
      <x:alignment horizontal="left" vertical="center"/>
    </x:xf>
    <x:xf numFmtId="15" fontId="9" fillId="13" borderId="17" xfId="0" applyNumberFormat="1" applyFont="1" applyBorder="1" applyAlignment="1">
      <x:alignment horizontal="center" vertical="top" wrapText="1"/>
    </x:xf>
    <x:xf numFmtId="0" fontId="9" fillId="22" borderId="32" xfId="0" applyFont="1" applyFill="1" applyBorder="1" applyAlignment="1">
      <x:alignment horizontal="center" vertical="top" wrapText="1"/>
    </x:xf>
    <x:xf numFmtId="0" fontId="38" fillId="23" borderId="32" xfId="0" applyFont="1" applyFill="1" applyBorder="1" applyAlignment="1">
      <x:alignment horizontal="center" vertical="top" wrapText="1"/>
    </x:xf>
    <x:xf numFmtId="0" fontId="39" fillId="8" borderId="32" xfId="0" applyFont="1" applyBorder="1" applyAlignment="1">
      <x:alignment horizontal="center" vertical="top" wrapText="1"/>
    </x:xf>
    <x:xf numFmtId="15" fontId="9" fillId="0" borderId="0" xfId="0" applyNumberFormat="1" applyFont="1" applyAlignment="1">
      <x:alignment horizontal="left" vertical="center"/>
    </x:xf>
    <x:xf numFmtId="0" fontId="40" fillId="24" borderId="32" xfId="0" applyFont="1" applyFill="1" applyBorder="1" applyAlignment="1">
      <x:alignment horizontal="center" vertical="top" wrapText="1"/>
    </x:xf>
    <x:xf numFmtId="0" fontId="9" fillId="0" borderId="9" xfId="0" applyFont="1" applyBorder="1"/>
    <x:xf numFmtId="0" fontId="9" fillId="0" borderId="39" xfId="0" applyFont="1" applyBorder="1"/>
    <x:xf numFmtId="0" fontId="9" fillId="0" borderId="39" xfId="0" applyFont="1" applyBorder="1" applyAlignment="1">
      <x:alignment horizontal="center" vertical="top" wrapText="1"/>
    </x:xf>
    <x:xf numFmtId="0" fontId="9" fillId="0" borderId="39" xfId="0" applyFont="1" applyBorder="1" applyAlignment="1">
      <x:alignment horizontal="center"/>
    </x:xf>
    <x:xf numFmtId="0" fontId="9" fillId="13" borderId="83" xfId="0" applyFont="1" applyBorder="1" applyAlignment="1">
      <x:alignment vertical="top" wrapText="1"/>
    </x:xf>
    <x:xf numFmtId="0" fontId="35" fillId="13" borderId="83" xfId="0" applyFont="1" applyBorder="1" applyAlignment="1">
      <x:alignment vertical="top" wrapText="1"/>
    </x:xf>
    <x:xf numFmtId="0" fontId="9" fillId="4" borderId="32" xfId="0" applyFont="1" applyBorder="1" applyAlignment="1">
      <x:alignment horizontal="center" vertical="top" wrapText="1"/>
    </x:xf>
    <x:xf numFmtId="0" fontId="37" fillId="13" borderId="84" xfId="0" applyFont="1" applyBorder="1" applyAlignment="1">
      <x:alignment horizontal="center" vertical="top" wrapText="1"/>
    </x:xf>
    <x:xf numFmtId="0" fontId="35" fillId="13" borderId="17" xfId="0" applyFont="1" applyBorder="1" applyAlignment="1">
      <x:alignment horizontal="center" vertical="center"/>
    </x:xf>
    <x:xf numFmtId="0" fontId="41" fillId="4" borderId="17" xfId="0" applyFont="1" applyBorder="1" applyAlignment="1">
      <x:alignment horizontal="left" vertical="top" wrapText="1"/>
    </x:xf>
    <x:xf numFmtId="0" fontId="37" fillId="4" borderId="85" xfId="0" applyFont="1" applyBorder="1" applyAlignment="1">
      <x:alignment horizontal="center" vertical="top" wrapText="1"/>
    </x:xf>
    <x:xf numFmtId="0" fontId="35" fillId="13" borderId="83" xfId="0" applyFont="1" applyBorder="1" applyAlignment="1">
      <x:alignment horizontal="center" vertical="center"/>
    </x:xf>
    <x:xf numFmtId="15" fontId="9" fillId="13" borderId="83" xfId="0" applyNumberFormat="1" applyFont="1" applyBorder="1" applyAlignment="1">
      <x:alignment horizontal="center" vertical="top" wrapText="1"/>
    </x:xf>
    <x:xf numFmtId="0" fontId="37" fillId="13" borderId="83" xfId="0" applyFont="1" applyBorder="1" applyAlignment="1">
      <x:alignment horizontal="left" vertical="top" wrapText="1"/>
    </x:xf>
    <x:xf numFmtId="0" fontId="37" fillId="13" borderId="17" xfId="0" applyFont="1" applyBorder="1" applyAlignment="1">
      <x:alignment vertical="top" wrapText="1"/>
    </x:xf>
    <x:xf numFmtId="0" fontId="42" fillId="16" borderId="86" xfId="0" applyFont="1" applyBorder="1" applyAlignment="1">
      <x:alignment horizontal="center" vertical="top" wrapText="1"/>
    </x:xf>
    <x:xf numFmtId="0" fontId="42" fillId="16" borderId="32" xfId="0" applyFont="1" applyBorder="1" applyAlignment="1">
      <x:alignment horizontal="center" vertical="top" wrapText="1"/>
    </x:xf>
    <x:xf numFmtId="164" fontId="42" fillId="16" borderId="86" xfId="0" applyNumberFormat="1" applyFont="1" applyBorder="1" applyAlignment="1">
      <x:alignment horizontal="center" vertical="top" wrapText="1"/>
    </x:xf>
    <x:xf numFmtId="164" fontId="42" fillId="16" borderId="32" xfId="0" applyNumberFormat="1" applyFont="1" applyBorder="1" applyAlignment="1">
      <x:alignment horizontal="center" vertical="top" wrapText="1"/>
    </x:xf>
    <x:xf numFmtId="0" fontId="42" fillId="16" borderId="87" xfId="0" applyFont="1" applyBorder="1" applyAlignment="1">
      <x:alignment horizontal="center" vertical="top" wrapText="1"/>
    </x:xf>
    <x:xf numFmtId="0" fontId="43" fillId="0" borderId="32" xfId="0" applyFont="1" applyBorder="1" applyAlignment="1">
      <x:alignment horizontal="center" vertical="top"/>
    </x:xf>
    <x:xf numFmtId="14" fontId="9" fillId="0" borderId="32" xfId="0" applyNumberFormat="1" applyFont="1" applyBorder="1" applyAlignment="1">
      <x:alignment horizontal="center" vertical="top"/>
    </x:xf>
    <x:xf numFmtId="0" fontId="9" fillId="0" borderId="32" xfId="0" applyFont="1" applyBorder="1" applyAlignment="1">
      <x:alignment horizontal="center" vertical="top" wrapText="1"/>
    </x:xf>
    <x:xf numFmtId="0" fontId="9" fillId="0" borderId="32" xfId="0" applyFont="1" applyBorder="1" applyAlignment="1">
      <x:alignment horizontal="left" vertical="top" wrapText="1"/>
    </x:xf>
    <x:xf numFmtId="0" fontId="9" fillId="23" borderId="32" xfId="0" applyFont="1" applyBorder="1" applyAlignment="1">
      <x:alignment horizontal="center" vertical="top" wrapText="1"/>
    </x:xf>
    <x:xf numFmtId="164" fontId="9" fillId="0" borderId="32" xfId="0" applyNumberFormat="1" applyFont="1" applyBorder="1" applyAlignment="1">
      <x:alignment horizontal="center" vertical="top"/>
    </x:xf>
    <x:xf numFmtId="0" fontId="9" fillId="0" borderId="36" xfId="0" applyFont="1" applyBorder="1" applyAlignment="1">
      <x:alignment horizontal="left" vertical="top" wrapText="1"/>
    </x:xf>
    <x:xf numFmtId="15" fontId="9" fillId="0" borderId="36" xfId="0" applyNumberFormat="1" applyFont="1" applyBorder="1" applyAlignment="1">
      <x:alignment horizontal="center" vertical="top"/>
    </x:xf>
    <x:xf numFmtId="0" fontId="9" fillId="0" borderId="32" xfId="0" applyFont="1" applyBorder="1" applyAlignment="1">
      <x:alignment horizontal="center" vertical="top"/>
    </x:xf>
    <x:xf numFmtId="0" fontId="9" fillId="0" borderId="31" xfId="0" applyFont="1" applyBorder="1" applyAlignment="1">
      <x:alignment horizontal="left" vertical="top" wrapText="1"/>
    </x:xf>
    <x:xf numFmtId="15" fontId="9" fillId="0" borderId="32" xfId="0" applyNumberFormat="1" applyFont="1" applyBorder="1" applyAlignment="1">
      <x:alignment horizontal="center" vertical="top"/>
    </x:xf>
    <x:xf numFmtId="0" fontId="9" fillId="0" borderId="30" xfId="0" applyFont="1" applyBorder="1" applyAlignment="1">
      <x:alignment vertical="top" wrapText="1"/>
    </x:xf>
    <x:xf numFmtId="0" fontId="9" fillId="0" borderId="31" xfId="0" applyFont="1" applyBorder="1" applyAlignment="1">
      <x:alignment vertical="top" wrapText="1"/>
    </x:xf>
    <x:xf numFmtId="0" fontId="9" fillId="0" borderId="32" xfId="0" applyFont="1" applyBorder="1" applyAlignment="1">
      <x:alignment horizontal="center"/>
    </x:xf>
    <x:xf numFmtId="0" fontId="9" fillId="0" borderId="32" xfId="0" applyFont="1" applyBorder="1" applyAlignment="1">
      <x:alignment vertical="top" wrapText="1"/>
    </x:xf>
    <x:xf numFmtId="0" fontId="9" fillId="0" borderId="30" xfId="0" applyFont="1" applyBorder="1" applyAlignment="1">
      <x:alignment horizontal="left" vertical="top" wrapText="1"/>
    </x:xf>
    <x:xf numFmtId="14" fontId="9" fillId="0" borderId="32" xfId="0" applyNumberFormat="1" applyFont="1" applyBorder="1" applyAlignment="1">
      <x:alignment horizontal="center" vertical="top" wrapText="1"/>
    </x:xf>
    <x:xf numFmtId="15" fontId="9" fillId="0" borderId="31" xfId="0" applyNumberFormat="1" applyFont="1" applyBorder="1" applyAlignment="1">
      <x:alignment horizontal="center" vertical="top" wrapText="1"/>
    </x:xf>
    <x:xf numFmtId="164" fontId="9" fillId="0" borderId="32" xfId="0" applyNumberFormat="1" applyFont="1" applyBorder="1" applyAlignment="1">
      <x:alignment horizontal="left" vertical="top" wrapText="1"/>
    </x:xf>
    <x:xf numFmtId="0" fontId="9" fillId="0" borderId="0" xfId="0" applyFont="1" applyAlignment="1">
      <x:alignment vertical="top" wrapText="1"/>
    </x:xf>
    <x:xf numFmtId="0" fontId="9" fillId="0" borderId="0" xfId="0" applyFont="1" applyAlignment="1">
      <x:alignment wrapText="1"/>
    </x:xf>
    <x:xf numFmtId="0" fontId="9" fillId="0" borderId="0" xfId="0" applyFont="1" applyAlignment="1">
      <x:alignment horizontal="left"/>
    </x:xf>
    <x:xf numFmtId="0" fontId="0" fillId="25" borderId="13" xfId="0" applyNumberFormat="1" applyFont="1" applyFill="1" applyBorder="1"/>
    <x:xf numFmtId="0" fontId="0" fillId="25" borderId="12" xfId="0" applyNumberFormat="1" applyFont="1" applyFill="1" applyBorder="1"/>
    <x:xf numFmtId="0" fontId="0" fillId="25" borderId="14" xfId="0" applyNumberFormat="1" applyFont="1" applyFill="1" applyBorder="1"/>
    <x:xf numFmtId="0" fontId="0" fillId="25" borderId="0" xfId="0" applyNumberFormat="1" applyFont="1" applyFill="1" applyBorder="1" applyAlignment="1">
      <x:alignment vertical="center"/>
    </x:xf>
    <x:xf numFmtId="0" fontId="0" fillId="25" borderId="17" xfId="0" applyNumberFormat="1" applyFont="1" applyFill="1" applyBorder="1" applyAlignment="1">
      <x:alignment vertical="center"/>
    </x:xf>
    <x:xf numFmtId="0" fontId="0" fillId="25" borderId="18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 applyAlignment="1">
      <x:alignment vertical="bottom" wrapText="0"/>
    </x:xf>
    <x:xf numFmtId="0" fontId="0" fillId="25" borderId="10" xfId="0" applyNumberFormat="1" applyFont="1" applyFill="1" applyBorder="1"/>
    <x:xf numFmtId="0" fontId="0" fillId="25" borderId="17" xfId="0" applyNumberFormat="1" applyFont="1" applyFill="1" applyBorder="1"/>
    <x:xf numFmtId="0" fontId="0" fillId="25" borderId="20" xfId="0" applyNumberFormat="1" applyFont="1" applyFill="1" applyBorder="1"/>
    <x:xf numFmtId="0" fontId="0" fillId="25" borderId="21" xfId="0" applyNumberFormat="1" applyFont="1" applyFill="1" applyBorder="1" applyAlignment="1">
      <x:alignment vertical="center"/>
    </x:xf>
    <x:xf numFmtId="0" fontId="0" fillId="25" borderId="22" xfId="0" applyNumberFormat="1" applyFont="1" applyFill="1" applyBorder="1" applyAlignment="1">
      <x:alignment vertical="center"/>
    </x:xf>
    <x:xf numFmtId="0" fontId="0" fillId="25" borderId="25" xfId="0" applyNumberFormat="1" applyFont="1" applyFill="1" applyBorder="1" applyAlignment="1">
      <x:alignment vertical="center"/>
    </x:xf>
    <x:xf numFmtId="0" fontId="0" fillId="25" borderId="26" xfId="0" applyNumberFormat="1" applyFont="1" applyFill="1" applyBorder="1" applyAlignment="1">
      <x:alignment vertical="center"/>
    </x:xf>
    <x:xf numFmtId="0" fontId="0" fillId="25" borderId="27" xfId="0" applyNumberFormat="1" applyFont="1" applyFill="1" applyBorder="1" applyAlignment="1">
      <x:alignment vertical="center"/>
    </x:xf>
    <x:xf numFmtId="0" fontId="0" fillId="25" borderId="25" xfId="0" applyNumberFormat="1" applyFont="1" applyFill="1" applyBorder="1"/>
    <x:xf numFmtId="0" fontId="0" fillId="25" borderId="28" xfId="0" applyNumberFormat="1" applyFont="1" applyFill="1" applyBorder="1"/>
    <x:xf numFmtId="0" fontId="44" fillId="25" borderId="13" xfId="0" applyNumberFormat="1" applyFont="1" applyFill="1" applyBorder="1"/>
    <x:xf numFmtId="0" fontId="44" fillId="25" borderId="12" xfId="0" applyNumberFormat="1" applyFont="1" applyFill="1" applyBorder="1"/>
    <x:xf numFmtId="0" fontId="44" fillId="25" borderId="14" xfId="0" applyNumberFormat="1" applyFont="1" applyFill="1" applyBorder="1"/>
    <x:xf numFmtId="0" fontId="44" fillId="25" borderId="0" xfId="0" applyNumberFormat="1" applyFont="1" applyFill="1" applyBorder="1" applyAlignment="1">
      <x:alignment vertical="center"/>
    </x:xf>
    <x:xf numFmtId="0" fontId="44" fillId="25" borderId="17" xfId="0" applyNumberFormat="1" applyFont="1" applyFill="1" applyBorder="1" applyAlignment="1">
      <x:alignment vertical="center"/>
    </x:xf>
    <x:xf numFmtId="0" fontId="44" fillId="25" borderId="18" xfId="0" applyNumberFormat="1" applyFont="1" applyFill="1" applyBorder="1" applyAlignment="1">
      <x:alignment vertical="center"/>
    </x:xf>
    <x:xf numFmtId="0" fontId="44" fillId="25" borderId="0" xfId="0" applyNumberFormat="1" applyFont="1" applyFill="1" applyBorder="1" applyAlignment="1">
      <x:alignment vertical="bottom" wrapText="0"/>
    </x:xf>
    <x:xf numFmtId="0" fontId="44" fillId="25" borderId="10" xfId="0" applyNumberFormat="1" applyFont="1" applyFill="1" applyBorder="1"/>
    <x:xf numFmtId="0" fontId="44" fillId="25" borderId="17" xfId="0" applyNumberFormat="1" applyFont="1" applyFill="1" applyBorder="1"/>
    <x:xf numFmtId="0" fontId="44" fillId="25" borderId="20" xfId="0" applyNumberFormat="1" applyFont="1" applyFill="1" applyBorder="1"/>
    <x:xf numFmtId="0" fontId="44" fillId="25" borderId="21" xfId="0" applyNumberFormat="1" applyFont="1" applyFill="1" applyBorder="1" applyAlignment="1">
      <x:alignment vertical="center"/>
    </x:xf>
    <x:xf numFmtId="0" fontId="44" fillId="25" borderId="22" xfId="0" applyNumberFormat="1" applyFont="1" applyFill="1" applyBorder="1" applyAlignment="1">
      <x:alignment vertical="center"/>
    </x:xf>
    <x:xf numFmtId="0" fontId="44" fillId="25" borderId="25" xfId="0" applyNumberFormat="1" applyFont="1" applyFill="1" applyBorder="1" applyAlignment="1">
      <x:alignment vertical="center"/>
    </x:xf>
    <x:xf numFmtId="0" fontId="44" fillId="25" borderId="26" xfId="0" applyNumberFormat="1" applyFont="1" applyFill="1" applyBorder="1" applyAlignment="1">
      <x:alignment vertical="center"/>
    </x:xf>
    <x:xf numFmtId="0" fontId="44" fillId="25" borderId="27" xfId="0" applyNumberFormat="1" applyFont="1" applyFill="1" applyBorder="1" applyAlignment="1">
      <x:alignment vertical="center"/>
    </x:xf>
    <x:xf numFmtId="0" fontId="44" fillId="25" borderId="25" xfId="0" applyNumberFormat="1" applyFont="1" applyFill="1" applyBorder="1"/>
    <x:xf numFmtId="0" fontId="44" fillId="25" borderId="28" xfId="0" applyNumberFormat="1" applyFont="1" applyFill="1" applyBorder="1"/>
    <x:xf numFmtId="0" fontId="4" fillId="26" borderId="11" xfId="0" applyNumberFormat="1" applyFont="1" applyFill="1" applyBorder="1"/>
    <x:xf numFmtId="0" fontId="0" fillId="26" borderId="12" xfId="0" applyNumberFormat="1" applyFont="1" applyFill="1" applyBorder="1"/>
    <x:xf numFmtId="0" fontId="44" fillId="26" borderId="13" xfId="0" applyNumberFormat="1" applyFont="1" applyFill="1" applyBorder="1"/>
    <x:xf numFmtId="0" fontId="44" fillId="26" borderId="12" xfId="0" applyNumberFormat="1" applyFont="1" applyFill="1" applyBorder="1"/>
    <x:xf numFmtId="0" fontId="44" fillId="26" borderId="14" xfId="0" applyNumberFormat="1" applyFont="1" applyFill="1" applyBorder="1"/>
    <x:xf numFmtId="0" fontId="45" fillId="26" borderId="11" xfId="0" applyNumberFormat="1" applyFont="1" applyFill="1" applyBorder="1"/>
    <x:xf numFmtId="0" fontId="45" fillId="26" borderId="12" xfId="0" applyNumberFormat="1" applyFont="1" applyFill="1" applyBorder="1"/>
    <x:xf numFmtId="0" fontId="45" fillId="26" borderId="13" xfId="0" applyNumberFormat="1" applyFont="1" applyFill="1" applyBorder="1"/>
    <x:xf numFmtId="0" fontId="45" fillId="26" borderId="14" xfId="0" applyNumberFormat="1" applyFont="1" applyFill="1" applyBorder="1"/>
    <x:xf numFmtId="0" fontId="4" fillId="26" borderId="19" xfId="0" applyNumberFormat="1" applyFont="1" applyFill="1" applyBorder="1" applyAlignment="1">
      <x:alignment vertical="center"/>
    </x:xf>
    <x:xf numFmtId="0" fontId="0" fillId="26" borderId="18" xfId="0" applyNumberFormat="1" applyFont="1" applyFill="1" applyBorder="1" applyAlignment="1">
      <x:alignment vertical="center"/>
    </x:xf>
    <x:xf numFmtId="0" fontId="44" fillId="26" borderId="17" xfId="0" applyNumberFormat="1" applyFont="1" applyFill="1" applyBorder="1" applyAlignment="1">
      <x:alignment vertical="center"/>
    </x:xf>
    <x:xf numFmtId="0" fontId="44" fillId="26" borderId="18" xfId="0" applyNumberFormat="1" applyFont="1" applyFill="1" applyBorder="1" applyAlignment="1">
      <x:alignment vertical="center"/>
    </x:xf>
    <x:xf numFmtId="0" fontId="44" fillId="26" borderId="17" xfId="0" applyNumberFormat="1" applyFont="1" applyFill="1" applyBorder="1"/>
    <x:xf numFmtId="0" fontId="44" fillId="26" borderId="20" xfId="0" applyNumberFormat="1" applyFont="1" applyFill="1" applyBorder="1"/>
    <x:xf numFmtId="0" fontId="45" fillId="26" borderId="19" xfId="0" applyNumberFormat="1" applyFont="1" applyFill="1" applyBorder="1" applyAlignment="1">
      <x:alignment vertical="center"/>
    </x:xf>
    <x:xf numFmtId="0" fontId="45" fillId="26" borderId="18" xfId="0" applyNumberFormat="1" applyFont="1" applyFill="1" applyBorder="1" applyAlignment="1">
      <x:alignment vertical="center"/>
    </x:xf>
    <x:xf numFmtId="0" fontId="45" fillId="26" borderId="17" xfId="0" applyNumberFormat="1" applyFont="1" applyFill="1" applyBorder="1" applyAlignment="1">
      <x:alignment vertical="center"/>
    </x:xf>
    <x:xf numFmtId="0" fontId="45" fillId="26" borderId="17" xfId="0" applyNumberFormat="1" applyFont="1" applyFill="1" applyBorder="1"/>
    <x:xf numFmtId="0" fontId="45" fillId="26" borderId="20" xfId="0" applyNumberFormat="1" applyFont="1" applyFill="1" applyBorder="1"/>
    <x:xf numFmtId="0" fontId="0" fillId="26" borderId="15" xfId="0" applyNumberFormat="1" applyFont="1" applyFill="1" applyBorder="1" applyAlignment="1">
      <x:alignment horizontal="left" vertical="center"/>
    </x:xf>
    <x:xf numFmtId="0" fontId="0" fillId="26" borderId="16" xfId="0" applyNumberFormat="1" applyFont="1" applyFill="1" applyBorder="1" applyAlignment="1">
      <x:alignment horizontal="left" vertical="center"/>
    </x:xf>
    <x:xf numFmtId="0" fontId="44" fillId="26" borderId="0" xfId="0" applyNumberFormat="1" applyFont="1" applyFill="1" applyBorder="1" applyAlignment="1">
      <x:alignment vertical="center"/>
    </x:xf>
    <x:xf numFmtId="0" fontId="44" fillId="26" borderId="22" xfId="0" applyNumberFormat="1" applyFont="1" applyFill="1" applyBorder="1" applyAlignment="1">
      <x:alignment vertical="center"/>
    </x:xf>
    <x:xf numFmtId="0" fontId="44" fillId="26" borderId="0" xfId="0" applyNumberFormat="1" applyFont="1" applyFill="1" applyBorder="1" applyAlignment="1">
      <x:alignment vertical="bottom" wrapText="0"/>
    </x:xf>
    <x:xf numFmtId="0" fontId="44" fillId="26" borderId="10" xfId="0" applyNumberFormat="1" applyFont="1" applyFill="1" applyBorder="1"/>
    <x:xf numFmtId="0" fontId="45" fillId="26" borderId="15" xfId="0" applyNumberFormat="1" applyFont="1" applyFill="1" applyBorder="1" applyAlignment="1">
      <x:alignment horizontal="left" vertical="center"/>
    </x:xf>
    <x:xf numFmtId="0" fontId="45" fillId="26" borderId="16" xfId="0" applyNumberFormat="1" applyFont="1" applyFill="1" applyBorder="1" applyAlignment="1">
      <x:alignment horizontal="left" vertical="center"/>
    </x:xf>
    <x:xf numFmtId="0" fontId="45" fillId="26" borderId="0" xfId="0" applyNumberFormat="1" applyFont="1" applyFill="1" applyBorder="1" applyAlignment="1">
      <x:alignment vertical="center"/>
    </x:xf>
    <x:xf numFmtId="0" fontId="45" fillId="26" borderId="22" xfId="0" applyNumberFormat="1" applyFont="1" applyFill="1" applyBorder="1" applyAlignment="1">
      <x:alignment vertical="center"/>
    </x:xf>
    <x:xf numFmtId="0" fontId="45" fillId="26" borderId="0" xfId="0" applyNumberFormat="1" applyFont="1" applyFill="1" applyBorder="1" applyAlignment="1">
      <x:alignment vertical="bottom" wrapText="0"/>
    </x:xf>
    <x:xf numFmtId="0" fontId="45" fillId="26" borderId="10" xfId="0" applyNumberFormat="1" applyFont="1" applyFill="1" applyBorder="1"/>
    <x:xf numFmtId="0" fontId="44" fillId="26" borderId="21" xfId="0" applyNumberFormat="1" applyFont="1" applyFill="1" applyBorder="1" applyAlignment="1">
      <x:alignment vertical="center"/>
    </x:xf>
    <x:xf numFmtId="0" fontId="45" fillId="26" borderId="21" xfId="0" applyNumberFormat="1" applyFont="1" applyFill="1" applyBorder="1" applyAlignment="1">
      <x:alignment vertical="center"/>
    </x:xf>
    <x:xf numFmtId="0" fontId="0" fillId="26" borderId="16" xfId="0" applyNumberFormat="1" applyFont="1" applyFill="1" applyBorder="1" applyAlignment="1">
      <x:alignment vertical="center"/>
    </x:xf>
    <x:xf numFmtId="0" fontId="45" fillId="26" borderId="16" xfId="0" applyNumberFormat="1" applyFont="1" applyFill="1" applyBorder="1" applyAlignment="1">
      <x:alignment vertical="center"/>
    </x:xf>
    <x:xf numFmtId="0" fontId="44" fillId="27" borderId="0" xfId="0" applyNumberFormat="1" applyFont="1" applyFill="1" applyBorder="1" applyAlignment="1">
      <x:alignment vertical="center"/>
    </x:xf>
    <x:xf numFmtId="0" fontId="46" fillId="27" borderId="0" xfId="0" applyNumberFormat="1" applyFont="1" applyFill="1" applyBorder="1" applyAlignment="1">
      <x:alignment vertical="center"/>
    </x:xf>
    <x:xf numFmtId="0" fontId="46" fillId="27" borderId="0" xfId="0" applyNumberFormat="1" applyFont="1" applyFill="1" applyBorder="1" applyAlignment="1">
      <x:alignment horizontal="center" vertical="center"/>
    </x:xf>
    <x:xf numFmtId="0" fontId="44" fillId="27" borderId="17" xfId="0" applyNumberFormat="1" applyFont="1" applyFill="1" applyBorder="1" applyAlignment="1">
      <x:alignment vertical="center"/>
    </x:xf>
    <x:xf numFmtId="0" fontId="46" fillId="27" borderId="17" xfId="0" applyNumberFormat="1" applyFont="1" applyFill="1" applyBorder="1" applyAlignment="1">
      <x:alignment vertical="center"/>
    </x:xf>
    <x:xf numFmtId="0" fontId="46" fillId="27" borderId="17" xfId="0" applyNumberFormat="1" applyFont="1" applyFill="1" applyBorder="1" applyAlignment="1">
      <x:alignment horizontal="center" vertical="center"/>
    </x:xf>
    <x:xf numFmtId="0" fontId="45" fillId="26" borderId="11" xfId="0" applyNumberFormat="1" applyFont="1" applyFill="1" applyBorder="1" applyAlignment="1">
      <x:alignment wrapText="1"/>
    </x:xf>
    <x:xf numFmtId="0" fontId="45" fillId="26" borderId="12" xfId="0" applyNumberFormat="1" applyFont="1" applyFill="1" applyBorder="1" applyAlignment="1">
      <x:alignment wrapText="1"/>
    </x:xf>
    <x:xf numFmtId="0" fontId="45" fillId="26" borderId="13" xfId="0" applyNumberFormat="1" applyFont="1" applyFill="1" applyBorder="1" applyAlignment="1">
      <x:alignment wrapText="1"/>
    </x:xf>
    <x:xf numFmtId="0" fontId="45" fillId="26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44" fillId="25" borderId="0" xfId="0" applyNumberFormat="1" applyFont="1" applyFill="1" applyBorder="1" applyAlignment="1">
      <x:alignment vertical="center" wrapText="1"/>
    </x:xf>
    <x:xf numFmtId="0" fontId="46" fillId="27" borderId="0" xfId="0" applyNumberFormat="1" applyFont="1" applyFill="1" applyBorder="1" applyAlignment="1">
      <x:alignment horizontal="center" vertical="center" wrapText="1"/>
    </x:xf>
    <x:xf numFmtId="0" fontId="46" fillId="27" borderId="17" xfId="0" applyNumberFormat="1" applyFont="1" applyFill="1" applyBorder="1" applyAlignment="1">
      <x:alignment horizontal="center" vertical="center" wrapText="1"/>
    </x:xf>
    <x:xf numFmtId="0" fontId="44" fillId="25" borderId="17" xfId="0" applyNumberFormat="1" applyFont="1" applyFill="1" applyBorder="1" applyAlignment="1">
      <x:alignment vertical="center" wrapText="1"/>
    </x:xf>
    <x:xf numFmtId="0" fontId="44" fillId="25" borderId="18" xfId="0" applyNumberFormat="1" applyFont="1" applyFill="1" applyBorder="1" applyAlignment="1">
      <x:alignment vertical="center" wrapText="1"/>
    </x:xf>
    <x:xf numFmtId="0" fontId="44" fillId="25" borderId="0" xfId="0" applyNumberFormat="1" applyFont="1" applyFill="1" applyBorder="1" applyAlignment="1">
      <x:alignment vertical="bottom" wrapText="1"/>
    </x:xf>
    <x:xf numFmtId="0" fontId="44" fillId="25" borderId="10" xfId="0" applyNumberFormat="1" applyFont="1" applyFill="1" applyBorder="1" applyAlignment="1">
      <x:alignment wrapText="1"/>
    </x:xf>
    <x:xf numFmtId="0" fontId="45" fillId="26" borderId="19" xfId="0" applyNumberFormat="1" applyFont="1" applyFill="1" applyBorder="1" applyAlignment="1">
      <x:alignment vertical="center" wrapText="1"/>
    </x:xf>
    <x:xf numFmtId="0" fontId="45" fillId="26" borderId="18" xfId="0" applyNumberFormat="1" applyFont="1" applyFill="1" applyBorder="1" applyAlignment="1">
      <x:alignment vertical="center" wrapText="1"/>
    </x:xf>
    <x:xf numFmtId="0" fontId="45" fillId="26" borderId="17" xfId="0" applyNumberFormat="1" applyFont="1" applyFill="1" applyBorder="1" applyAlignment="1">
      <x:alignment vertical="center" wrapText="1"/>
    </x:xf>
    <x:xf numFmtId="0" fontId="45" fillId="26" borderId="17" xfId="0" applyNumberFormat="1" applyFont="1" applyFill="1" applyBorder="1" applyAlignment="1">
      <x:alignment wrapText="1"/>
    </x:xf>
    <x:xf numFmtId="0" fontId="45" fillId="26" borderId="2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44" fillId="25" borderId="21" xfId="0" applyNumberFormat="1" applyFont="1" applyFill="1" applyBorder="1" applyAlignment="1">
      <x:alignment vertical="center" wrapText="1"/>
    </x:xf>
    <x:xf numFmtId="0" fontId="45" fillId="26" borderId="15" xfId="0" applyNumberFormat="1" applyFont="1" applyFill="1" applyBorder="1" applyAlignment="1">
      <x:alignment horizontal="left" vertical="center" wrapText="1"/>
    </x:xf>
    <x:xf numFmtId="0" fontId="45" fillId="26" borderId="16" xfId="0" applyNumberFormat="1" applyFont="1" applyFill="1" applyBorder="1" applyAlignment="1">
      <x:alignment horizontal="left" vertical="center" wrapText="1"/>
    </x:xf>
    <x:xf numFmtId="0" fontId="45" fillId="26" borderId="0" xfId="0" applyNumberFormat="1" applyFont="1" applyFill="1" applyBorder="1" applyAlignment="1">
      <x:alignment vertical="center" wrapText="1"/>
    </x:xf>
    <x:xf numFmtId="0" fontId="45" fillId="26" borderId="22" xfId="0" applyNumberFormat="1" applyFont="1" applyFill="1" applyBorder="1" applyAlignment="1">
      <x:alignment vertical="center" wrapText="1"/>
    </x:xf>
    <x:xf numFmtId="0" fontId="45" fillId="26" borderId="0" xfId="0" applyNumberFormat="1" applyFont="1" applyFill="1" applyBorder="1" applyAlignment="1">
      <x:alignment vertical="bottom" wrapText="1"/>
    </x:xf>
    <x:xf numFmtId="0" fontId="45" fillId="26" borderId="10" xfId="0" applyNumberFormat="1" applyFont="1" applyFill="1" applyBorder="1" applyAlignment="1">
      <x:alignment wrapText="1"/>
    </x:xf>
    <x:xf numFmtId="0" fontId="45" fillId="26" borderId="21" xfId="0" applyNumberFormat="1" applyFont="1" applyFill="1" applyBorder="1" applyAlignment="1">
      <x:alignment vertical="center" wrapText="1"/>
    </x:xf>
    <x:xf numFmtId="0" fontId="45" fillId="26" borderId="16" xfId="0" applyNumberFormat="1" applyFont="1" applyFill="1" applyBorder="1" applyAlignment="1">
      <x:alignment vertical="center" wrapText="1"/>
    </x:xf>
    <x:xf numFmtId="200" fontId="7" fillId="0" borderId="29" xfId="0" applyNumberFormat="1" applyFont="1" applyFill="1" applyBorder="1" applyAlignment="1">
      <x:alignment horizontal="left" vertical="center" wrapText="1"/>
    </x:xf>
    <x:xf numFmtId="200" fontId="7" fillId="0" borderId="32" xfId="0" applyNumberFormat="1" applyFont="1" applyFill="1" applyBorder="1" applyAlignment="1">
      <x:alignment horizontal="left" vertical="center" wrapText="1"/>
    </x:xf>
    <x:xf numFmtId="0" fontId="7" fillId="0" borderId="29" xfId="0" applyNumberFormat="1" applyFont="1" applyFill="1" applyBorder="1" applyAlignment="1">
      <x:alignment horizontal="left" vertical="center" wrapText="1"/>
    </x:xf>
    <x:xf numFmtId="0" fontId="7" fillId="0" borderId="29" xfId="0" applyNumberFormat="1" applyFont="1" applyFill="1" applyBorder="1" applyAlignment="1">
      <x:alignment vertical="top" wrapText="1"/>
    </x:xf>
    <x:xf numFmtId="3" fontId="7" fillId="0" borderId="34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wrapText="1"/>
    </x:xf>
    <x:xf numFmtId="0" fontId="7" fillId="0" borderId="34" xfId="0" applyNumberFormat="1" applyFont="1" applyFill="1" applyBorder="1" applyAlignment="1">
      <x:alignment horizontal="left" vertical="center" wrapText="1"/>
    </x:xf>
    <x:xf numFmtId="201" fontId="21" fillId="0" borderId="50" xfId="0" applyNumberFormat="1" applyFont="1" applyFill="1" applyBorder="1" applyAlignment="1">
      <x:alignment horizontal="right" vertical="center" wrapText="1"/>
    </x:xf>
    <x:xf numFmtId="201" fontId="21" fillId="0" borderId="51" xfId="0" applyNumberFormat="1" applyFont="1" applyFill="1" applyBorder="1" applyAlignment="1">
      <x:alignment horizontal="right" vertical="center" wrapText="1"/>
    </x:xf>
    <x:xf numFmtId="201" fontId="21" fillId="13" borderId="50" xfId="0" applyNumberFormat="1" applyFont="1" applyFill="1" applyBorder="1" applyAlignment="1">
      <x:alignment horizontal="right" vertical="center" wrapText="1"/>
    </x:xf>
    <x:xf numFmtId="201" fontId="21" fillId="0" borderId="52" xfId="0" applyNumberFormat="1" applyFont="1" applyFill="1" applyBorder="1" applyAlignment="1">
      <x:alignment horizontal="right" vertical="center" wrapText="1"/>
    </x:xf>
    <x:xf numFmtId="201" fontId="20" fillId="12" borderId="53" xfId="0" applyNumberFormat="1" applyFont="1" applyFill="1" applyBorder="1" applyAlignment="1">
      <x:alignment vertical="center" wrapText="1"/>
    </x:xf>
    <x:xf numFmtId="201" fontId="3" fillId="0" borderId="54" xfId="0" applyNumberFormat="1" applyFont="1" applyFill="1" applyBorder="1"/>
    <x:xf numFmtId="201" fontId="21" fillId="4" borderId="50" xfId="0" applyNumberFormat="1" applyFont="1" applyFill="1" applyBorder="1" applyAlignment="1">
      <x:alignment vertical="center" wrapText="1"/>
    </x:xf>
    <x:xf numFmtId="201" fontId="21" fillId="4" borderId="50" xfId="0" applyNumberFormat="1" applyFont="1" applyFill="1" applyBorder="1" applyAlignment="1">
      <x:alignment horizontal="right" vertical="center" wrapText="1"/>
    </x:xf>
    <x:xf numFmtId="201" fontId="21" fillId="4" borderId="51" xfId="0" applyNumberFormat="1" applyFont="1" applyFill="1" applyBorder="1" applyAlignment="1">
      <x:alignment horizontal="right" vertical="center" wrapText="1"/>
    </x:xf>
    <x:xf numFmtId="201" fontId="21" fillId="4" borderId="53" xfId="0" applyNumberFormat="1" applyFont="1" applyFill="1" applyBorder="1" applyAlignment="1">
      <x:alignment vertical="center" wrapText="1"/>
    </x:xf>
    <x:xf numFmtId="201" fontId="21" fillId="4" borderId="59" xfId="0" applyNumberFormat="1" applyFont="1" applyFill="1" applyBorder="1" applyAlignment="1">
      <x:alignment vertical="center" wrapText="1"/>
    </x:xf>
    <x:xf numFmtId="201" fontId="21" fillId="4" borderId="60" xfId="0" applyNumberFormat="1" applyFont="1" applyFill="1" applyBorder="1" applyAlignment="1">
      <x:alignment vertical="center" wrapText="1"/>
    </x:xf>
    <x:xf numFmtId="201" fontId="20" fillId="15" borderId="62" xfId="0" applyNumberFormat="1" applyFont="1" applyFill="1" applyBorder="1" applyAlignment="1">
      <x:alignment horizontal="right" vertical="center" wrapText="1"/>
    </x:xf>
    <x:xf numFmtId="201" fontId="20" fillId="15" borderId="63" xfId="0" applyNumberFormat="1" applyFont="1" applyFill="1" applyBorder="1" applyAlignment="1">
      <x:alignment horizontal="right" vertical="center" wrapText="1"/>
    </x:xf>
    <x:xf numFmtId="0" fontId="20" fillId="12" borderId="46" xfId="0" applyNumberFormat="1" applyFont="1" applyFill="1" applyBorder="1" applyAlignment="1">
      <x:alignment horizontal="left" vertical="center" wrapText="1"/>
    </x:xf>
    <x:xf numFmtId="0" fontId="3" fillId="0" borderId="47" xfId="0" applyNumberFormat="1" applyFont="1" applyFill="1" applyBorder="1" applyAlignment="1">
      <x:alignment wrapText="1"/>
    </x:xf>
    <x:xf numFmtId="0" fontId="21" fillId="0" borderId="50" xfId="0" applyNumberFormat="1" applyFont="1" applyFill="1" applyBorder="1" applyAlignment="1">
      <x:alignment horizontal="left" vertical="center" wrapText="1"/>
    </x:xf>
    <x:xf numFmtId="14" fontId="21" fillId="0" borderId="50" xfId="0" applyNumberFormat="1" applyFont="1" applyFill="1" applyBorder="1" applyAlignment="1">
      <x:alignment horizontal="left" vertical="center" wrapText="1"/>
    </x:xf>
    <x:xf numFmtId="0" fontId="21" fillId="13" borderId="50" xfId="0" applyNumberFormat="1" applyFont="1" applyFill="1" applyBorder="1" applyAlignment="1">
      <x:alignment horizontal="left" vertical="center" wrapText="1"/>
    </x:xf>
    <x:xf numFmtId="14" fontId="21" fillId="13" borderId="50" xfId="0" applyNumberFormat="1" applyFont="1" applyFill="1" applyBorder="1" applyAlignment="1">
      <x:alignment horizontal="left" vertical="center" wrapText="1"/>
    </x:xf>
    <x:xf numFmtId="0" fontId="21" fillId="0" borderId="46" xfId="0" applyNumberFormat="1" applyFont="1" applyFill="1" applyBorder="1" applyAlignment="1">
      <x:alignment horizontal="left" vertical="center" wrapText="1"/>
    </x:xf>
    <x:xf numFmtId="0" fontId="20" fillId="12" borderId="53" xfId="0" applyNumberFormat="1" applyFont="1" applyFill="1" applyBorder="1" applyAlignment="1">
      <x:alignment vertical="center" wrapText="1"/>
    </x:xf>
    <x:xf numFmtId="0" fontId="20" fillId="14" borderId="46" xfId="0" applyNumberFormat="1" applyFont="1" applyFill="1" applyBorder="1" applyAlignment="1">
      <x:alignment vertical="center" wrapText="1"/>
    </x:xf>
    <x:xf numFmtId="0" fontId="3" fillId="0" borderId="54" xfId="0" applyNumberFormat="1" applyFont="1" applyFill="1" applyBorder="1" applyAlignment="1">
      <x:alignment wrapText="1"/>
    </x:xf>
    <x:xf numFmtId="0" fontId="21" fillId="4" borderId="50" xfId="0" applyNumberFormat="1" applyFont="1" applyFill="1" applyBorder="1" applyAlignment="1">
      <x:alignment vertical="center" wrapText="1"/>
    </x:xf>
    <x:xf numFmtId="0" fontId="20" fillId="14" borderId="56" xfId="0" applyNumberFormat="1" applyFont="1" applyFill="1" applyBorder="1" applyAlignment="1">
      <x:alignment horizontal="left" vertical="center" wrapText="1"/>
    </x:xf>
    <x:xf numFmtId="0" fontId="21" fillId="4" borderId="59" xfId="0" applyNumberFormat="1" applyFont="1" applyFill="1" applyBorder="1" applyAlignment="1">
      <x:alignment vertical="center" wrapText="1"/>
    </x:xf>
    <x:xf numFmtId="0" fontId="20" fillId="15" borderId="62" xfId="0" applyNumberFormat="1" applyFont="1" applyFill="1" applyBorder="1" applyAlignment="1">
      <x:alignment horizontal="center" vertical="center" wrapText="1"/>
    </x:xf>
    <x:xf numFmtId="200" fontId="24" fillId="0" borderId="64" xfId="0" applyNumberFormat="1" applyFont="1" applyFill="1" applyBorder="1" applyAlignment="1">
      <x:alignment horizontal="center" vertical="center"/>
    </x:xf>
    <x:xf numFmtId="202" fontId="24" fillId="0" borderId="72" xfId="0" applyNumberFormat="1" applyFont="1" applyFill="1" applyBorder="1" applyAlignment="1">
      <x:alignment horizontal="center" vertical="center"/>
    </x:xf>
    <x:xf numFmtId="202" fontId="24" fillId="18" borderId="72" xfId="0" applyNumberFormat="1" applyFont="1" applyFill="1" applyBorder="1" applyAlignment="1">
      <x:alignment horizontal="center" vertical="center"/>
    </x:xf>
    <x:xf numFmtId="202" fontId="24" fillId="19" borderId="72" xfId="0" applyNumberFormat="1" applyFont="1" applyFill="1" applyBorder="1" applyAlignment="1">
      <x:alignment horizontal="center" vertical="center"/>
    </x:xf>
    <x:xf numFmtId="200" fontId="24" fillId="0" borderId="72" xfId="0" applyNumberFormat="1" applyFont="1" applyFill="1" applyBorder="1" applyAlignment="1">
      <x:alignment horizontal="center" vertical="center"/>
    </x:xf>
    <x:xf numFmtId="200" fontId="29" fillId="18" borderId="72" xfId="0" applyNumberFormat="1" applyFont="1" applyFill="1" applyBorder="1" applyAlignment="1">
      <x:alignment horizontal="center" vertical="center"/>
    </x:xf>
    <x:xf numFmtId="200" fontId="24" fillId="19" borderId="72" xfId="0" applyNumberFormat="1" applyFont="1" applyFill="1" applyBorder="1" applyAlignment="1">
      <x:alignment horizontal="center" vertical="center"/>
    </x:xf>
    <x:xf numFmtId="200" fontId="29" fillId="19" borderId="72" xfId="0" applyNumberFormat="1" applyFont="1" applyFill="1" applyBorder="1" applyAlignment="1">
      <x:alignment horizontal="center" vertical="center"/>
    </x:xf>
    <x:xf numFmtId="200" fontId="31" fillId="19" borderId="72" xfId="0" applyNumberFormat="1" applyFont="1" applyFill="1" applyBorder="1" applyAlignment="1">
      <x:alignment horizontal="center" vertical="center"/>
    </x:xf>
    <x:xf numFmtId="200" fontId="24" fillId="18" borderId="72" xfId="0" applyNumberFormat="1" applyFont="1" applyFill="1" applyBorder="1" applyAlignment="1">
      <x:alignment horizontal="center" vertical="center"/>
    </x:xf>
    <x:xf numFmtId="0" fontId="24" fillId="0" borderId="72" xfId="0" applyNumberFormat="1" applyFont="1" applyFill="1" applyBorder="1" applyAlignment="1">
      <x:alignment horizontal="left" vertical="center" wrapText="1"/>
    </x:xf>
    <x:xf numFmtId="0" fontId="29" fillId="18" borderId="74" xfId="0" applyNumberFormat="1" applyFont="1" applyFill="1" applyBorder="1" applyAlignment="1">
      <x:alignment vertical="center" wrapText="1"/>
    </x:xf>
    <x:xf numFmtId="0" fontId="3" fillId="0" borderId="75" xfId="0" applyNumberFormat="1" applyFont="1" applyFill="1" applyBorder="1" applyAlignment="1">
      <x:alignment wrapText="1"/>
    </x:xf>
    <x:xf numFmtId="0" fontId="24" fillId="19" borderId="72" xfId="0" applyNumberFormat="1" applyFont="1" applyFill="1" applyBorder="1" applyAlignment="1">
      <x:alignment horizontal="left" vertical="center" wrapText="1"/>
    </x:xf>
    <x:xf numFmtId="0" fontId="29" fillId="19" borderId="77" xfId="0" applyNumberFormat="1" applyFont="1" applyFill="1" applyBorder="1" applyAlignment="1">
      <x:alignment horizontal="left" vertical="center" wrapText="1"/>
    </x:xf>
    <x:xf numFmtId="0" fontId="24" fillId="19" borderId="77" xfId="0" applyNumberFormat="1" applyFont="1" applyFill="1" applyBorder="1" applyAlignment="1">
      <x:alignment horizontal="left" vertical="center" wrapText="1"/>
    </x:xf>
    <x:xf numFmtId="0" fontId="31" fillId="19" borderId="72" xfId="0" applyNumberFormat="1" applyFont="1" applyFill="1" applyBorder="1" applyAlignment="1">
      <x:alignment horizontal="left" vertical="center" wrapText="1"/>
    </x:xf>
    <x:xf numFmtId="0" fontId="32" fillId="20" borderId="78" xfId="0" applyNumberFormat="1" applyFont="1" applyFill="1" applyBorder="1" applyAlignment="1">
      <x:alignment horizontal="left" vertical="center" wrapText="1"/>
    </x:xf>
    <x:xf numFmtId="0" fontId="6" fillId="19" borderId="29" xfId="0" applyNumberFormat="1" applyFont="1" applyFill="1" applyBorder="1" applyAlignment="1">
      <x:alignment vertical="top" wrapText="1"/>
    </x:xf>
    <x:xf numFmtId="0" fontId="3" fillId="0" borderId="30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wrapText="1"/>
    </x:xf>
    <x:xf numFmtId="0" fontId="7" fillId="0" borderId="32" xfId="0" applyNumberFormat="1" applyFont="1" applyFill="1" applyBorder="1" applyAlignment="1">
      <x:alignment horizontal="left" vertical="top" wrapText="1"/>
    </x:xf>
    <x:xf numFmtId="49" fontId="7" fillId="0" borderId="32" xfId="0" applyNumberFormat="1" applyFont="1" applyFill="1" applyBorder="1" applyAlignment="1">
      <x:alignment horizontal="center" vertical="top" wrapText="1"/>
    </x:xf>
    <x:xf numFmtId="0" fontId="33" fillId="0" borderId="32" xfId="0" applyNumberFormat="1" applyFont="1" applyFill="1" applyBorder="1" applyAlignment="1">
      <x:alignment horizontal="left" vertical="top" wrapText="1"/>
    </x:xf>
    <x:xf numFmtId="0" fontId="7" fillId="4" borderId="32" xfId="0" applyNumberFormat="1" applyFont="1" applyFill="1" applyBorder="1" applyAlignment="1">
      <x:alignment horizontal="left" vertical="top" wrapText="1"/>
    </x:xf>
    <x:xf numFmtId="200" fontId="9" fillId="0" borderId="32" xfId="0" applyNumberFormat="1" applyFont="1" applyFill="1" applyBorder="1" applyAlignment="1">
      <x:alignment horizontal="center" vertical="top"/>
    </x:xf>
    <x:xf numFmtId="200" fontId="9" fillId="0" borderId="36" xfId="0" applyNumberFormat="1" applyFont="1" applyFill="1" applyBorder="1" applyAlignment="1">
      <x:alignment horizontal="center" vertical="top"/>
    </x:xf>
    <x:xf numFmtId="0" fontId="43" fillId="0" borderId="32" xfId="0" applyNumberFormat="1" applyFont="1" applyFill="1" applyBorder="1" applyAlignment="1">
      <x:alignment horizontal="center" vertical="top" wrapText="1"/>
    </x:xf>
    <x:xf numFmtId="200" fontId="9" fillId="0" borderId="32" xfId="0" applyNumberFormat="1" applyFont="1" applyFill="1" applyBorder="1" applyAlignment="1">
      <x:alignment horizontal="center" vertical="top" wrapText="1"/>
    </x:xf>
    <x:xf numFmtId="0" fontId="9" fillId="0" borderId="32" xfId="0" applyNumberFormat="1" applyFont="1" applyFill="1" applyBorder="1" applyAlignment="1">
      <x:alignment horizontal="center" vertical="top" wrapText="1"/>
    </x:xf>
    <x:xf numFmtId="0" fontId="9" fillId="0" borderId="32" xfId="0" applyNumberFormat="1" applyFont="1" applyFill="1" applyBorder="1" applyAlignment="1">
      <x:alignment horizontal="left" vertical="top" wrapText="1"/>
    </x:xf>
    <x:xf numFmtId="0" fontId="9" fillId="23" borderId="32" xfId="0" applyNumberFormat="1" applyFont="1" applyFill="1" applyBorder="1" applyAlignment="1">
      <x:alignment horizontal="center" vertical="top" wrapText="1"/>
    </x:xf>
    <x:xf numFmtId="0" fontId="9" fillId="0" borderId="36" xfId="0" applyNumberFormat="1" applyFont="1" applyFill="1" applyBorder="1" applyAlignment="1">
      <x:alignment horizontal="left" vertical="top" wrapText="1"/>
    </x:xf>
    <x:xf numFmtId="200" fontId="9" fillId="0" borderId="36" xfId="0" applyNumberFormat="1" applyFont="1" applyFill="1" applyBorder="1" applyAlignment="1">
      <x:alignment horizontal="center" vertical="top" wrapText="1"/>
    </x:xf>
    <x:xf numFmtId="0" fontId="9" fillId="0" borderId="31" xfId="0" applyNumberFormat="1" applyFont="1" applyFill="1" applyBorder="1" applyAlignment="1">
      <x:alignment horizontal="left" vertical="top" wrapText="1"/>
    </x:xf>
    <x:xf numFmtId="0" fontId="9" fillId="0" borderId="30" xfId="0" applyNumberFormat="1" applyFont="1" applyFill="1" applyBorder="1" applyAlignment="1">
      <x:alignment vertical="top" wrapText="1"/>
    </x:xf>
    <x:xf numFmtId="0" fontId="9" fillId="0" borderId="31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horizontal="center" wrapText="1"/>
    </x:xf>
    <x:xf numFmtId="0" fontId="9" fillId="0" borderId="32" xfId="0" applyNumberFormat="1" applyFont="1" applyFill="1" applyBorder="1" applyAlignment="1">
      <x:alignment vertical="top" wrapText="1"/>
    </x:xf>
    <x:xf numFmtId="14" fontId="9" fillId="0" borderId="32" xfId="0" applyNumberFormat="1" applyFont="1" applyFill="1" applyBorder="1" applyAlignment="1">
      <x:alignment horizontal="center" vertical="top" wrapText="1"/>
    </x:xf>
    <x:xf numFmtId="0" fontId="9" fillId="0" borderId="30" xfId="0" applyNumberFormat="1" applyFont="1" applyFill="1" applyBorder="1" applyAlignment="1">
      <x:alignment horizontal="left" vertical="top" wrapText="1"/>
    </x:xf>
    <x:xf numFmtId="15" fontId="9" fillId="0" borderId="32" xfId="0" applyNumberFormat="1" applyFont="1" applyFill="1" applyBorder="1" applyAlignment="1">
      <x:alignment horizontal="center" vertical="top" wrapText="1"/>
    </x:xf>
    <x:xf numFmtId="15" fontId="9" fillId="0" borderId="31" xfId="0" applyNumberFormat="1" applyFont="1" applyFill="1" applyBorder="1" applyAlignment="1">
      <x:alignment horizontal="center" vertical="top" wrapText="1"/>
    </x:xf>
    <x:xf numFmtId="164" fontId="9" fillId="0" borderId="32" xfId="0" applyNumberFormat="1" applyFont="1" applyFill="1" applyBorder="1" applyAlignment="1">
      <x:alignment horizontal="center" vertical="top" wrapText="1"/>
    </x:xf>
    <x:xf numFmtId="164" fontId="9" fillId="0" borderId="32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left" wrapText="1"/>
    </x:xf>
    <x:xf numFmtId="0" fontId="3" fillId="25" borderId="30" xfId="0" applyNumberFormat="1" applyFont="1" applyFill="1" applyBorder="1"/>
    <x:xf numFmtId="0" fontId="3" fillId="25" borderId="40" xfId="0" applyNumberFormat="1" applyFont="1" applyFill="1" applyBorder="1"/>
    <x:xf numFmtId="0" fontId="10" fillId="25" borderId="0" xfId="0" applyNumberFormat="1" applyFont="1" applyFill="1" applyBorder="1"/>
    <x:xf numFmtId="0" fontId="17" fillId="25" borderId="32" xfId="0" applyNumberFormat="1" applyFont="1" applyFill="1" applyBorder="1" applyAlignment="1">
      <x:alignment vertical="center"/>
    </x:xf>
    <x:xf numFmtId="0" fontId="47" fillId="25" borderId="30" xfId="0" applyNumberFormat="1" applyFont="1" applyFill="1" applyBorder="1"/>
    <x:xf numFmtId="0" fontId="47" fillId="25" borderId="40" xfId="0" applyNumberFormat="1" applyFont="1" applyFill="1" applyBorder="1"/>
    <x:xf numFmtId="0" fontId="11" fillId="25" borderId="0" xfId="0" applyNumberFormat="1" applyFont="1" applyFill="1" applyBorder="1"/>
    <x:xf numFmtId="0" fontId="47" fillId="25" borderId="88" xfId="0" applyNumberFormat="1" applyFont="1" applyFill="1" applyBorder="1"/>
    <x:xf numFmtId="0" fontId="11" fillId="25" borderId="88" xfId="0" applyNumberFormat="1" applyFont="1" applyFill="1" applyBorder="1"/>
    <x:xf numFmtId="0" fontId="17" fillId="25" borderId="88" xfId="0" applyNumberFormat="1" applyFont="1" applyFill="1" applyBorder="1" applyAlignment="1">
      <x:alignment vertical="center"/>
    </x:xf>
    <x:xf numFmtId="200" fontId="3" fillId="0" borderId="30" xfId="0" applyNumberFormat="1" applyFont="1" applyFill="1" applyBorder="1"/>
    <x:xf numFmtId="200" fontId="11" fillId="6" borderId="32" xfId="0" applyNumberFormat="1" applyFont="1" applyFill="1" applyBorder="1" applyAlignment="1">
      <x:alignment horizontal="center" vertical="center"/>
    </x:xf>
    <x:xf numFmtId="0" fontId="11" fillId="6" borderId="32" xfId="0" applyNumberFormat="1" applyFont="1" applyFill="1" applyBorder="1" applyAlignment="1">
      <x:alignment vertical="center" wrapText="1"/>
    </x:xf>
    <x:xf numFmtId="0" fontId="11" fillId="6" borderId="4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color rgb="FF9C6500"/>
      </x:font>
      <x:fill>
        <x:patternFill>
          <x:bgColor rgb="FFFFEB9C"/>
        </x:patternFill>
      </x:fill>
      <x:border/>
    </x:dxf>
    <x:dxf>
      <x:font>
        <x:color rgb="FF006100"/>
      </x:font>
      <x:fill>
        <x:patternFill>
          <x:bgColor rgb="FFC6EFCE"/>
        </x:patternFill>
      </x:fill>
      <x:border/>
    </x:dxf>
    <x:dxf>
      <x:fill>
        <x:patternFill patternType="none"/>
      </x:fill>
      <x:border>
        <x:right style="thin">
          <x:color rgb="FFD8D8D8"/>
        </x:right>
      </x:border>
    </x:dxf>
    <x:dxf>
      <x:fill>
        <x:patternFill>
          <x:bgColor rgb="FF7F7F7F"/>
        </x:patternFill>
      </x:fill>
      <x:border/>
    </x:dxf>
    <x:dxf>
      <x:fill>
        <x:patternFill>
          <x:bgColor rgb="FF3969AD"/>
        </x:patternFill>
      </x:fill>
      <x:border/>
    </x:dxf>
    <x:dxf>
      <x:fill>
        <x:patternFill patternType="none"/>
      </x:fill>
      <x:border>
        <x:left style="thin">
          <x:color rgb="FFC00000"/>
        </x:left>
        <x:right style="thin">
          <x:color rgb="FFC00000"/>
        </x:right>
      </x:border>
    </x:dxf>
    <x:dxf>
      <x:fill>
        <x:patternFill>
          <x:bgColor theme="0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EEECE2"/>
        </x:patternFill>
      </x:fill>
      <x:border/>
    </x:dxf>
    <x:dxf>
      <x:font>
        <x:color theme="0"/>
      </x:font>
      <x:fill>
        <x:patternFill>
          <x:bgColor rgb="FF7030A0"/>
        </x:patternFill>
      </x:fill>
      <x:border/>
    </x:dxf>
    <x:dxf>
      <x:font>
        <x:color theme="0"/>
      </x:font>
      <x:fill>
        <x:patternFill>
          <x:bgColor rgb="FFFF0000"/>
        </x:patternFill>
      </x:fill>
      <x:border/>
    </x:dxf>
    <x:dxf>
      <x:fill>
        <x:patternFill>
          <x:bgColor rgb="FFFFC000"/>
        </x:patternFill>
      </x:fill>
      <x:border/>
    </x:dxf>
    <x:dxf>
      <x:font>
        <x:color theme="0"/>
      </x:font>
      <x:fill>
        <x:patternFill>
          <x:bgColor rgb="FF0070C0"/>
        </x:patternFill>
      </x:fill>
      <x:border/>
    </x:dxf>
    <x:dxf>
      <x:fill>
        <x:patternFill>
          <x:bgColor rgb="FF00B050"/>
        </x:patternFill>
      </x:fill>
      <x:border/>
    </x:dxf>
    <x:dxf>
      <x:fill>
        <x:patternFill>
          <x:bgColor rgb="FFA5A5A5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02d19b29b45d2" /><Relationship Type="http://schemas.openxmlformats.org/officeDocument/2006/relationships/theme" Target="/xl/theme/theme1.xml" Id="Ra82007bfdd03427d" /><Relationship Type="http://schemas.openxmlformats.org/officeDocument/2006/relationships/sharedStrings" Target="/xl/sharedStrings.xml" Id="R1a7720623a314d10" /><Relationship Type="http://schemas.openxmlformats.org/officeDocument/2006/relationships/worksheet" Target="/xl/worksheets/sheet1.xml" Id="R80d2237f57754394" /><Relationship Type="http://schemas.openxmlformats.org/officeDocument/2006/relationships/worksheet" Target="/xl/worksheets/sheet2.xml" Id="R3aab5ef92d6c4183" /><Relationship Type="http://schemas.openxmlformats.org/officeDocument/2006/relationships/worksheet" Target="/xl/worksheets/sheet3.xml" Id="R154dcd13260b4e9e" /><Relationship Type="http://schemas.openxmlformats.org/officeDocument/2006/relationships/worksheet" Target="/xl/worksheets/sheet4.xml" Id="R8376f2146cf5485d" /><Relationship Type="http://schemas.openxmlformats.org/officeDocument/2006/relationships/worksheet" Target="/xl/worksheets/sheet5.xml" Id="Rb27de5ead8994fff" /><Relationship Type="http://schemas.openxmlformats.org/officeDocument/2006/relationships/worksheet" Target="/xl/worksheets/sheet6.xml" Id="Rf1c2b8baf02a4073" /><Relationship Type="http://schemas.openxmlformats.org/officeDocument/2006/relationships/worksheet" Target="/xl/worksheets/sheet7.xml" Id="R7fc0e26264274415" /><Relationship Type="http://schemas.microsoft.com/office/2017/10/relationships/person" Target="/xl/persons/person.xml" Id="Rf2f8a225d6444550" /></Relationships>
</file>

<file path=xl/persons/person.xml><?xml version="1.0" encoding="utf-8"?>
<xltc:personList xmlns:xltc="http://schemas.microsoft.com/office/spreadsheetml/2018/threadedcomments">
  <xltc:person displayName="theanh" id="{2391CE4E-0A68-F0BB-5EB1-47E31FEE393A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f1146c98e434a34" /><Relationship Type="http://schemas.openxmlformats.org/officeDocument/2006/relationships/vmlDrawing" Target="/xl/drawings/vmldrawing.vml" Id="R34e506d750c145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mailto:trungdt@hnue.edu.vn" TargetMode="External" Id="R67577b3ace134c96" /><Relationship Type="http://schemas.openxmlformats.org/officeDocument/2006/relationships/hyperlink" Target="mailto:hangpt@hnue.edu.vn" TargetMode="External" Id="R0b7e9917226e43c5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.8799999952316284" customWidth="1"/>
    <x:col min="2" max="2" width="6.5" customWidth="1"/>
    <x:col min="3" max="3" width="53.880001068115234" customWidth="1"/>
    <x:col min="4" max="27" width="2.630000114440918" customWidth="1"/>
  </x:cols>
  <x:sheetData>
    <x:row r="1" ht="13.5" customHeight="1">
      <x:c r="B1" s="1" t="str">
        <x:v>LỘ TRÌNH SẢN PHẨM AI INVENTORY &amp; WASTE MANAGER 2026-2027</x:v>
      </x:c>
    </x:row>
    <x:row r="2" ht="13.5" customHeight="1">
      <x:c r="B2" s="2" t="str">
        <x:v>Hạng mục / Sáng kiến</x:v>
      </x:c>
      <x:c r="C2" s="3"/>
      <x:c r="D2" s="4" t="n">
        <x:v>2026</x:v>
      </x:c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6"/>
      <x:c r="P2" s="4" t="n">
        <x:v>2027</x:v>
      </x:c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7"/>
    </x:row>
    <x:row r="3" ht="13.5" customHeight="1">
      <x:c r="B3" s="8"/>
      <x:c r="C3" s="9"/>
      <x:c r="D3" s="10" t="n">
        <x:v>1</x:v>
      </x:c>
      <x:c r="E3" s="10" t="n">
        <x:v>2</x:v>
      </x:c>
      <x:c r="F3" s="10" t="n">
        <x:v>3</x:v>
      </x:c>
      <x:c r="G3" s="10" t="n">
        <x:v>4</x:v>
      </x:c>
      <x:c r="H3" s="10" t="n">
        <x:v>5</x:v>
      </x:c>
      <x:c r="I3" s="10" t="n">
        <x:v>6</x:v>
      </x:c>
      <x:c r="J3" s="10" t="n">
        <x:v>7</x:v>
      </x:c>
      <x:c r="K3" s="10" t="n">
        <x:v>8</x:v>
      </x:c>
      <x:c r="L3" s="10" t="n">
        <x:v>9</x:v>
      </x:c>
      <x:c r="M3" s="10" t="n">
        <x:v>10</x:v>
      </x:c>
      <x:c r="N3" s="10" t="n">
        <x:v>11</x:v>
      </x:c>
      <x:c r="O3" s="10" t="n">
        <x:v>12</x:v>
      </x:c>
      <x:c r="P3" s="11" t="n">
        <x:v>1</x:v>
      </x:c>
      <x:c r="Q3" s="10" t="n">
        <x:v>2</x:v>
      </x:c>
      <x:c r="R3" s="10" t="n">
        <x:v>3</x:v>
      </x:c>
      <x:c r="S3" s="10" t="n">
        <x:v>4</x:v>
      </x:c>
      <x:c r="T3" s="10" t="n">
        <x:v>5</x:v>
      </x:c>
      <x:c r="U3" s="10" t="n">
        <x:v>6</x:v>
      </x:c>
      <x:c r="V3" s="10" t="n">
        <x:v>7</x:v>
      </x:c>
      <x:c r="W3" s="10" t="n">
        <x:v>8</x:v>
      </x:c>
      <x:c r="X3" s="10" t="n">
        <x:v>9</x:v>
      </x:c>
      <x:c r="Y3" s="10" t="n">
        <x:v>10</x:v>
      </x:c>
      <x:c r="Z3" s="10" t="n">
        <x:v>11</x:v>
      </x:c>
      <x:c r="AA3" s="12" t="n">
        <x:v>12</x:v>
      </x:c>
    </x:row>
    <x:row r="4" ht="13.5" customHeight="1">
      <x:c r="B4" s="365" t="str"/>
      <x:c r="C4" s="366" t="str">
        <x:v>Nền tảng &amp; bảo mật</x:v>
      </x:c>
      <x:c r="D4" s="367"/>
      <x:c r="E4" s="367"/>
      <x:c r="F4" s="367"/>
      <x:c r="G4" s="367"/>
      <x:c r="H4" s="367"/>
      <x:c r="I4" s="367"/>
      <x:c r="J4" s="367"/>
      <x:c r="K4" s="367"/>
      <x:c r="L4" s="367"/>
      <x:c r="M4" s="367"/>
      <x:c r="N4" s="367"/>
      <x:c r="O4" s="366"/>
      <x:c r="P4" s="367"/>
      <x:c r="Q4" s="367"/>
      <x:c r="R4" s="367"/>
      <x:c r="S4" s="367"/>
      <x:c r="T4" s="367"/>
      <x:c r="U4" s="367"/>
      <x:c r="V4" s="367"/>
      <x:c r="W4" s="367"/>
      <x:c r="X4" s="367"/>
      <x:c r="Y4" s="367"/>
      <x:c r="Z4" s="367"/>
      <x:c r="AA4" s="368"/>
    </x:row>
    <x:row r="5" ht="13.5" customHeight="1">
      <x:c r="B5" s="369" t="str">
        <x:v>1.1</x:v>
      </x:c>
      <x:c r="C5" s="370" t="str">
        <x:v>Kiến trúc multi-tenant, JWT/RBAC và Tenant Context</x:v>
      </x:c>
      <x:c r="D5" s="371"/>
      <x:c r="E5" s="371"/>
      <x:c r="F5" s="371"/>
      <x:c r="G5" s="371"/>
      <x:c r="H5" s="372" t="str">
        <x:v>●</x:v>
      </x:c>
      <x:c r="I5" s="372" t="str">
        <x:v>●</x:v>
      </x:c>
      <x:c r="J5" s="373" t="str">
        <x:v>●</x:v>
      </x:c>
      <x:c r="K5" s="373" t="str">
        <x:v>●</x:v>
      </x:c>
      <x:c r="L5" s="374"/>
      <x:c r="M5" s="374"/>
      <x:c r="N5" s="374"/>
      <x:c r="O5" s="375"/>
      <x:c r="P5" s="371"/>
      <x:c r="Q5" s="371"/>
      <x:c r="R5" s="371"/>
      <x:c r="S5" s="371"/>
      <x:c r="T5" s="371"/>
      <x:c r="U5" s="371"/>
      <x:c r="V5" s="371"/>
      <x:c r="W5" s="371"/>
      <x:c r="X5" s="371"/>
      <x:c r="Y5" s="376"/>
      <x:c r="Z5" s="376"/>
      <x:c r="AA5" s="377"/>
    </x:row>
    <x:row r="6" ht="13.5" customHeight="1">
      <x:c r="B6" s="369" t="str">
        <x:v>1.2</x:v>
      </x:c>
      <x:c r="C6" s="370" t="str">
        <x:v>Cơ sở dữ liệu MySQL, Flyway và Redis</x:v>
      </x:c>
      <x:c r="D6" s="371"/>
      <x:c r="E6" s="371"/>
      <x:c r="F6" s="371"/>
      <x:c r="G6" s="371"/>
      <x:c r="H6" s="371"/>
      <x:c r="I6" s="372" t="str">
        <x:v>●</x:v>
      </x:c>
      <x:c r="J6" s="373" t="str">
        <x:v>●</x:v>
      </x:c>
      <x:c r="K6" s="373" t="str">
        <x:v>●</x:v>
      </x:c>
      <x:c r="L6" s="374"/>
      <x:c r="M6" s="374"/>
      <x:c r="N6" s="374"/>
      <x:c r="O6" s="375"/>
      <x:c r="P6" s="371"/>
      <x:c r="Q6" s="371"/>
      <x:c r="R6" s="371"/>
      <x:c r="S6" s="371"/>
      <x:c r="T6" s="371"/>
      <x:c r="U6" s="371"/>
      <x:c r="V6" s="371"/>
      <x:c r="W6" s="371"/>
      <x:c r="X6" s="371"/>
      <x:c r="Y6" s="376"/>
      <x:c r="Z6" s="376"/>
      <x:c r="AA6" s="377"/>
    </x:row>
    <x:row r="7" ht="13.5" customHeight="1">
      <x:c r="A7" s="24"/>
      <x:c r="B7" s="378" t="str"/>
      <x:c r="C7" s="379" t="str">
        <x:v>Quản lý kho &amp; lãng phí</x:v>
      </x:c>
      <x:c r="D7" s="380"/>
      <x:c r="E7" s="380"/>
      <x:c r="F7" s="380"/>
      <x:c r="G7" s="380"/>
      <x:c r="H7" s="380"/>
      <x:c r="I7" s="380"/>
      <x:c r="J7" s="380"/>
      <x:c r="K7" s="380"/>
      <x:c r="L7" s="380"/>
      <x:c r="M7" s="380"/>
      <x:c r="N7" s="380"/>
      <x:c r="O7" s="379"/>
      <x:c r="P7" s="380"/>
      <x:c r="Q7" s="380"/>
      <x:c r="R7" s="380"/>
      <x:c r="S7" s="380"/>
      <x:c r="T7" s="380"/>
      <x:c r="U7" s="380"/>
      <x:c r="V7" s="380"/>
      <x:c r="W7" s="380"/>
      <x:c r="X7" s="380"/>
      <x:c r="Y7" s="381"/>
      <x:c r="Z7" s="381"/>
      <x:c r="AA7" s="382"/>
    </x:row>
    <x:row r="8" ht="13.5" customHeight="1">
      <x:c r="B8" s="383" t="str">
        <x:v>2.1</x:v>
      </x:c>
      <x:c r="C8" s="384" t="str">
        <x:v>Danh mục nguyên liệu và định mức tồn tối thiểu</x:v>
      </x:c>
      <x:c r="D8" s="371"/>
      <x:c r="E8" s="371"/>
      <x:c r="F8" s="371"/>
      <x:c r="G8" s="371"/>
      <x:c r="H8" s="371"/>
      <x:c r="I8" s="371"/>
      <x:c r="J8" s="374"/>
      <x:c r="K8" s="373" t="str">
        <x:v>●</x:v>
      </x:c>
      <x:c r="L8" s="373" t="str">
        <x:v>●</x:v>
      </x:c>
      <x:c r="M8" s="374"/>
      <x:c r="N8" s="371"/>
      <x:c r="O8" s="371"/>
      <x:c r="P8" s="385"/>
      <x:c r="Q8" s="371"/>
      <x:c r="R8" s="371"/>
      <x:c r="S8" s="371"/>
      <x:c r="T8" s="371"/>
      <x:c r="U8" s="371"/>
      <x:c r="V8" s="371"/>
      <x:c r="W8" s="371"/>
      <x:c r="X8" s="371"/>
      <x:c r="Y8" s="376"/>
      <x:c r="Z8" s="376"/>
      <x:c r="AA8" s="377"/>
    </x:row>
    <x:row r="9" ht="13.5" customHeight="1">
      <x:c r="B9" s="383" t="str">
        <x:v>2.2</x:v>
      </x:c>
      <x:c r="C9" s="384" t="str">
        <x:v>Nhập kho theo lô, hạn sử dụng và giá vốn</x:v>
      </x:c>
      <x:c r="D9" s="371"/>
      <x:c r="E9" s="371"/>
      <x:c r="F9" s="371"/>
      <x:c r="G9" s="371"/>
      <x:c r="H9" s="371"/>
      <x:c r="I9" s="371"/>
      <x:c r="J9" s="371"/>
      <x:c r="K9" s="372" t="str">
        <x:v>●</x:v>
      </x:c>
      <x:c r="L9" s="373" t="str">
        <x:v>●</x:v>
      </x:c>
      <x:c r="M9" s="374"/>
      <x:c r="N9" s="374"/>
      <x:c r="O9" s="371"/>
      <x:c r="P9" s="385"/>
      <x:c r="Q9" s="371"/>
      <x:c r="R9" s="371"/>
      <x:c r="S9" s="371"/>
      <x:c r="T9" s="371"/>
      <x:c r="U9" s="371"/>
      <x:c r="V9" s="371"/>
      <x:c r="W9" s="371"/>
      <x:c r="X9" s="371"/>
      <x:c r="Y9" s="376"/>
      <x:c r="Z9" s="376"/>
      <x:c r="AA9" s="377"/>
    </x:row>
    <x:row r="10" ht="13.5" customHeight="1">
      <x:c r="B10" s="383" t="str">
        <x:v>2.3</x:v>
      </x:c>
      <x:c r="C10" s="384" t="str">
        <x:v>Xuất kho FEFO và kiểm soát giao dịch đồng thời</x:v>
      </x:c>
      <x:c r="D10" s="371"/>
      <x:c r="E10" s="371"/>
      <x:c r="F10" s="371"/>
      <x:c r="G10" s="371"/>
      <x:c r="H10" s="371"/>
      <x:c r="I10" s="371"/>
      <x:c r="J10" s="371"/>
      <x:c r="K10" s="372" t="str">
        <x:v>●</x:v>
      </x:c>
      <x:c r="L10" s="373" t="str">
        <x:v>●</x:v>
      </x:c>
      <x:c r="M10" s="374"/>
      <x:c r="N10" s="374"/>
      <x:c r="O10" s="371"/>
      <x:c r="P10" s="385"/>
      <x:c r="Q10" s="371"/>
      <x:c r="R10" s="371"/>
      <x:c r="S10" s="371"/>
      <x:c r="T10" s="371"/>
      <x:c r="U10" s="371"/>
      <x:c r="V10" s="371"/>
      <x:c r="W10" s="371"/>
      <x:c r="X10" s="371"/>
      <x:c r="Y10" s="376"/>
      <x:c r="Z10" s="376"/>
      <x:c r="AA10" s="377"/>
    </x:row>
    <x:row r="11" ht="13.5" customHeight="1">
      <x:c r="B11" s="383" t="str">
        <x:v>2.4</x:v>
      </x:c>
      <x:c r="C11" s="370" t="str">
        <x:v>Ghi nhận hao hụt và nhật ký giao dịch</x:v>
      </x:c>
      <x:c r="D11" s="371"/>
      <x:c r="E11" s="371"/>
      <x:c r="F11" s="371"/>
      <x:c r="G11" s="371"/>
      <x:c r="H11" s="371"/>
      <x:c r="I11" s="371"/>
      <x:c r="J11" s="371"/>
      <x:c r="K11" s="373" t="str">
        <x:v>●</x:v>
      </x:c>
      <x:c r="L11" s="373" t="str">
        <x:v>●</x:v>
      </x:c>
      <x:c r="M11" s="374"/>
      <x:c r="N11" s="374"/>
      <x:c r="O11" s="371"/>
      <x:c r="P11" s="385"/>
      <x:c r="Q11" s="371"/>
      <x:c r="R11" s="371"/>
      <x:c r="S11" s="371"/>
      <x:c r="T11" s="371"/>
      <x:c r="U11" s="371"/>
      <x:c r="V11" s="371"/>
      <x:c r="W11" s="371"/>
      <x:c r="X11" s="371"/>
      <x:c r="Y11" s="376"/>
      <x:c r="Z11" s="376"/>
      <x:c r="AA11" s="377"/>
    </x:row>
    <x:row r="12" ht="13.5" customHeight="1">
      <x:c r="B12" s="383" t="str">
        <x:v>2.5</x:v>
      </x:c>
      <x:c r="C12" s="370" t="str">
        <x:v>Cảnh báo tồn thấp và sắp hết hạn</x:v>
      </x:c>
      <x:c r="D12" s="371"/>
      <x:c r="E12" s="371"/>
      <x:c r="F12" s="371"/>
      <x:c r="G12" s="371"/>
      <x:c r="H12" s="371"/>
      <x:c r="I12" s="371"/>
      <x:c r="J12" s="371"/>
      <x:c r="K12" s="372" t="str">
        <x:v>●</x:v>
      </x:c>
      <x:c r="L12" s="372" t="str">
        <x:v>●</x:v>
      </x:c>
      <x:c r="M12" s="372" t="str">
        <x:v>●</x:v>
      </x:c>
      <x:c r="N12" s="371"/>
      <x:c r="O12" s="371"/>
      <x:c r="P12" s="385"/>
      <x:c r="Q12" s="371"/>
      <x:c r="R12" s="374"/>
      <x:c r="S12" s="374"/>
      <x:c r="T12" s="374"/>
      <x:c r="U12" s="371"/>
      <x:c r="V12" s="371"/>
      <x:c r="W12" s="371"/>
      <x:c r="X12" s="371"/>
      <x:c r="Y12" s="376"/>
      <x:c r="Z12" s="376"/>
      <x:c r="AA12" s="377"/>
    </x:row>
    <x:row r="13" ht="13.5" customHeight="1">
      <x:c r="B13" s="386" t="str"/>
      <x:c r="C13" s="387" t="str">
        <x:v>Dự báo &amp; báo cáo</x:v>
      </x:c>
      <x:c r="D13" s="388"/>
      <x:c r="E13" s="388"/>
      <x:c r="F13" s="388"/>
      <x:c r="G13" s="388"/>
      <x:c r="H13" s="388"/>
      <x:c r="I13" s="388"/>
      <x:c r="J13" s="388"/>
      <x:c r="K13" s="388"/>
      <x:c r="L13" s="388"/>
      <x:c r="M13" s="388"/>
      <x:c r="N13" s="388"/>
      <x:c r="O13" s="388"/>
      <x:c r="P13" s="389"/>
      <x:c r="Q13" s="380"/>
      <x:c r="R13" s="380"/>
      <x:c r="S13" s="388"/>
      <x:c r="T13" s="388"/>
      <x:c r="U13" s="388"/>
      <x:c r="V13" s="388"/>
      <x:c r="W13" s="388"/>
      <x:c r="X13" s="388"/>
      <x:c r="Y13" s="390"/>
      <x:c r="Z13" s="390"/>
      <x:c r="AA13" s="391"/>
    </x:row>
    <x:row r="14" ht="13.5" customHeight="1">
      <x:c r="B14" s="383" t="str">
        <x:v>3.1</x:v>
      </x:c>
      <x:c r="C14" s="384" t="str">
        <x:v>Dashboard KPI tồn kho và lãng phí</x:v>
      </x:c>
      <x:c r="D14" s="371"/>
      <x:c r="E14" s="371"/>
      <x:c r="F14" s="371"/>
      <x:c r="G14" s="371"/>
      <x:c r="H14" s="371"/>
      <x:c r="I14" s="371"/>
      <x:c r="J14" s="371"/>
      <x:c r="K14" s="371"/>
      <x:c r="L14" s="373" t="str">
        <x:v>●</x:v>
      </x:c>
      <x:c r="M14" s="373" t="str">
        <x:v>●</x:v>
      </x:c>
      <x:c r="N14" s="374"/>
      <x:c r="O14" s="374"/>
      <x:c r="P14" s="385"/>
      <x:c r="Q14" s="371"/>
      <x:c r="R14" s="371"/>
      <x:c r="S14" s="371"/>
      <x:c r="T14" s="371"/>
      <x:c r="U14" s="371"/>
      <x:c r="V14" s="371"/>
      <x:c r="W14" s="371"/>
      <x:c r="X14" s="371"/>
      <x:c r="Y14" s="376"/>
      <x:c r="Z14" s="376"/>
      <x:c r="AA14" s="377"/>
    </x:row>
    <x:row r="15" ht="13.5" customHeight="1">
      <x:c r="B15" s="383" t="str">
        <x:v>3.2</x:v>
      </x:c>
      <x:c r="C15" s="384" t="str">
        <x:v>Dự báo nhu cầu và khuyến nghị đặt hàng</x:v>
      </x:c>
      <x:c r="D15" s="371"/>
      <x:c r="E15" s="371"/>
      <x:c r="F15" s="371"/>
      <x:c r="G15" s="371"/>
      <x:c r="H15" s="371"/>
      <x:c r="I15" s="371"/>
      <x:c r="J15" s="371"/>
      <x:c r="K15" s="371"/>
      <x:c r="L15" s="371"/>
      <x:c r="M15" s="373" t="str">
        <x:v>●</x:v>
      </x:c>
      <x:c r="N15" s="373" t="str">
        <x:v>●</x:v>
      </x:c>
      <x:c r="O15" s="371"/>
      <x:c r="P15" s="385"/>
      <x:c r="Q15" s="371"/>
      <x:c r="R15" s="371"/>
      <x:c r="S15" s="371"/>
      <x:c r="T15" s="371"/>
      <x:c r="U15" s="371"/>
      <x:c r="V15" s="371"/>
      <x:c r="W15" s="371"/>
      <x:c r="X15" s="371"/>
      <x:c r="Y15" s="376"/>
      <x:c r="Z15" s="376"/>
      <x:c r="AA15" s="377"/>
    </x:row>
    <x:row r="16" ht="13.5" customHeight="1">
      <x:c r="B16" s="383" t="str">
        <x:v>3.3</x:v>
      </x:c>
      <x:c r="C16" s="384" t="str">
        <x:v>Báo cáo vận hành, audit log và xuất CSV</x:v>
      </x:c>
      <x:c r="D16" s="371"/>
      <x:c r="E16" s="371"/>
      <x:c r="F16" s="371"/>
      <x:c r="G16" s="371"/>
      <x:c r="H16" s="371"/>
      <x:c r="I16" s="371"/>
      <x:c r="J16" s="371"/>
      <x:c r="K16" s="372" t="str">
        <x:v>●</x:v>
      </x:c>
      <x:c r="L16" s="372" t="str">
        <x:v>●</x:v>
      </x:c>
      <x:c r="M16" s="371"/>
      <x:c r="N16" s="371"/>
      <x:c r="O16" s="371"/>
      <x:c r="P16" s="385"/>
      <x:c r="Q16" s="371"/>
      <x:c r="R16" s="374"/>
      <x:c r="S16" s="374"/>
      <x:c r="T16" s="374"/>
      <x:c r="U16" s="374"/>
      <x:c r="V16" s="371"/>
      <x:c r="W16" s="371"/>
      <x:c r="X16" s="371"/>
      <x:c r="Y16" s="376"/>
      <x:c r="Z16" s="376"/>
      <x:c r="AA16" s="377"/>
    </x:row>
    <x:row r="17" ht="13.5" customHeight="1">
      <x:c r="B17" s="386" t="str"/>
      <x:c r="C17" s="387" t="str">
        <x:v>Vận hành SaaS</x:v>
      </x:c>
      <x:c r="D17" s="388"/>
      <x:c r="E17" s="388"/>
      <x:c r="F17" s="388"/>
      <x:c r="G17" s="388"/>
      <x:c r="H17" s="388"/>
      <x:c r="I17" s="388"/>
      <x:c r="J17" s="388"/>
      <x:c r="K17" s="388"/>
      <x:c r="L17" s="388"/>
      <x:c r="M17" s="388"/>
      <x:c r="N17" s="380"/>
      <x:c r="O17" s="380"/>
      <x:c r="P17" s="392"/>
      <x:c r="Q17" s="388"/>
      <x:c r="R17" s="388"/>
      <x:c r="S17" s="388"/>
      <x:c r="T17" s="388"/>
      <x:c r="U17" s="388"/>
      <x:c r="V17" s="388"/>
      <x:c r="W17" s="388"/>
      <x:c r="X17" s="388"/>
      <x:c r="Y17" s="390"/>
      <x:c r="Z17" s="390"/>
      <x:c r="AA17" s="391"/>
    </x:row>
    <x:row r="18" ht="13.5" customHeight="1">
      <x:c r="B18" s="383" t="str">
        <x:v>4.1</x:v>
      </x:c>
      <x:c r="C18" s="384" t="str">
        <x:v>Quản lý cửa hàng và chuyển đổi multi-store</x:v>
      </x:c>
      <x:c r="D18" s="371"/>
      <x:c r="E18" s="371"/>
      <x:c r="F18" s="371"/>
      <x:c r="G18" s="371"/>
      <x:c r="H18" s="371"/>
      <x:c r="I18" s="371"/>
      <x:c r="J18" s="371"/>
      <x:c r="K18" s="374"/>
      <x:c r="L18" s="373" t="str">
        <x:v>●</x:v>
      </x:c>
      <x:c r="M18" s="373" t="str">
        <x:v>●</x:v>
      </x:c>
      <x:c r="N18" s="374"/>
      <x:c r="O18" s="371"/>
      <x:c r="P18" s="385"/>
      <x:c r="Q18" s="371"/>
      <x:c r="R18" s="371"/>
      <x:c r="S18" s="371"/>
      <x:c r="T18" s="371"/>
      <x:c r="U18" s="371"/>
      <x:c r="V18" s="371"/>
      <x:c r="W18" s="371"/>
      <x:c r="X18" s="371"/>
      <x:c r="Y18" s="376"/>
      <x:c r="Z18" s="376"/>
      <x:c r="AA18" s="377"/>
    </x:row>
    <x:row r="19" ht="13.5" customHeight="1">
      <x:c r="B19" s="383" t="str">
        <x:v>4.2</x:v>
      </x:c>
      <x:c r="C19" s="384" t="str">
        <x:v>Mời nhân viên qua email và đổi mật khẩu lần đầu</x:v>
      </x:c>
      <x:c r="D19" s="371"/>
      <x:c r="E19" s="371"/>
      <x:c r="F19" s="371"/>
      <x:c r="G19" s="371"/>
      <x:c r="H19" s="371"/>
      <x:c r="I19" s="371"/>
      <x:c r="J19" s="371"/>
      <x:c r="K19" s="374"/>
      <x:c r="L19" s="374"/>
      <x:c r="M19" s="373" t="str">
        <x:v>●</x:v>
      </x:c>
      <x:c r="N19" s="373" t="str">
        <x:v>●</x:v>
      </x:c>
      <x:c r="O19" s="371"/>
      <x:c r="P19" s="385"/>
      <x:c r="Q19" s="371"/>
      <x:c r="R19" s="371"/>
      <x:c r="S19" s="371"/>
      <x:c r="T19" s="371"/>
      <x:c r="U19" s="371"/>
      <x:c r="V19" s="371"/>
      <x:c r="W19" s="371"/>
      <x:c r="X19" s="371"/>
      <x:c r="Y19" s="376"/>
      <x:c r="Z19" s="376"/>
      <x:c r="AA19" s="377"/>
    </x:row>
    <x:row r="20" ht="13.5" customHeight="1">
      <x:c r="B20" s="383" t="str">
        <x:v>4.3</x:v>
      </x:c>
      <x:c r="C20" s="384" t="str">
        <x:v>Subscription, hạn mức gói và thanh toán</x:v>
      </x:c>
      <x:c r="D20" s="371"/>
      <x:c r="E20" s="371"/>
      <x:c r="F20" s="371"/>
      <x:c r="G20" s="371"/>
      <x:c r="H20" s="371"/>
      <x:c r="I20" s="371"/>
      <x:c r="J20" s="371"/>
      <x:c r="K20" s="374"/>
      <x:c r="L20" s="373" t="str">
        <x:v>●</x:v>
      </x:c>
      <x:c r="M20" s="374"/>
      <x:c r="N20" s="374"/>
      <x:c r="O20" s="371"/>
      <x:c r="P20" s="385"/>
      <x:c r="Q20" s="371"/>
      <x:c r="R20" s="371"/>
      <x:c r="S20" s="371"/>
      <x:c r="T20" s="371"/>
      <x:c r="U20" s="371"/>
      <x:c r="V20" s="371"/>
      <x:c r="W20" s="371"/>
      <x:c r="X20" s="371"/>
      <x:c r="Y20" s="376"/>
      <x:c r="Z20" s="376"/>
      <x:c r="AA20" s="377"/>
    </x:row>
    <x:row r="21" ht="13.5" customHeight="1">
      <x:c r="B21" s="383" t="str">
        <x:v>4.4</x:v>
      </x:c>
      <x:c r="C21" s="370" t="str">
        <x:v>Trang quản trị hệ thống và quản lý tenant</x:v>
      </x:c>
      <x:c r="D21" s="371"/>
      <x:c r="E21" s="371"/>
      <x:c r="F21" s="371"/>
      <x:c r="G21" s="371"/>
      <x:c r="H21" s="371"/>
      <x:c r="I21" s="371"/>
      <x:c r="J21" s="371"/>
      <x:c r="K21" s="374"/>
      <x:c r="L21" s="373" t="str">
        <x:v>●</x:v>
      </x:c>
      <x:c r="M21" s="373" t="str">
        <x:v>●</x:v>
      </x:c>
      <x:c r="N21" s="374"/>
      <x:c r="O21" s="374"/>
      <x:c r="P21" s="385"/>
      <x:c r="Q21" s="371"/>
      <x:c r="R21" s="371"/>
      <x:c r="S21" s="371"/>
      <x:c r="T21" s="371"/>
      <x:c r="U21" s="371"/>
      <x:c r="V21" s="371"/>
      <x:c r="W21" s="371"/>
      <x:c r="X21" s="371"/>
      <x:c r="Y21" s="376"/>
      <x:c r="Z21" s="376"/>
      <x:c r="AA21" s="377"/>
    </x:row>
    <x:row r="22" ht="13.5" customHeight="1">
      <x:c r="B22" s="386" t="str"/>
      <x:c r="C22" s="393" t="str">
        <x:v>Chất lượng &amp; triển khai</x:v>
      </x:c>
      <x:c r="D22" s="388"/>
      <x:c r="E22" s="388"/>
      <x:c r="F22" s="388"/>
      <x:c r="G22" s="388"/>
      <x:c r="H22" s="388"/>
      <x:c r="I22" s="388"/>
      <x:c r="J22" s="388"/>
      <x:c r="K22" s="380"/>
      <x:c r="L22" s="380"/>
      <x:c r="M22" s="380"/>
      <x:c r="N22" s="380"/>
      <x:c r="O22" s="380"/>
      <x:c r="P22" s="392"/>
      <x:c r="Q22" s="388"/>
      <x:c r="R22" s="388"/>
      <x:c r="S22" s="388"/>
      <x:c r="T22" s="388"/>
      <x:c r="U22" s="388"/>
      <x:c r="V22" s="388"/>
      <x:c r="W22" s="388"/>
      <x:c r="X22" s="388"/>
      <x:c r="Y22" s="390"/>
      <x:c r="Z22" s="390"/>
      <x:c r="AA22" s="391"/>
    </x:row>
    <x:row r="23" ht="13.5" customHeight="1">
      <x:c r="B23" s="383" t="str">
        <x:v>5.1</x:v>
      </x:c>
      <x:c r="C23" s="370" t="str">
        <x:v>Kiểm thử FEFO, phân quyền và cách ly tenant</x:v>
      </x:c>
      <x:c r="D23" s="371"/>
      <x:c r="E23" s="371"/>
      <x:c r="F23" s="371"/>
      <x:c r="G23" s="371"/>
      <x:c r="H23" s="371"/>
      <x:c r="I23" s="371"/>
      <x:c r="J23" s="371"/>
      <x:c r="K23" s="374"/>
      <x:c r="L23" s="374"/>
      <x:c r="M23" s="373" t="str">
        <x:v>●</x:v>
      </x:c>
      <x:c r="N23" s="374"/>
      <x:c r="O23" s="374"/>
      <x:c r="P23" s="385"/>
      <x:c r="Q23" s="371"/>
      <x:c r="R23" s="371"/>
      <x:c r="S23" s="371"/>
      <x:c r="T23" s="371"/>
      <x:c r="U23" s="371"/>
      <x:c r="V23" s="371"/>
      <x:c r="W23" s="371"/>
      <x:c r="X23" s="371"/>
      <x:c r="Y23" s="376"/>
      <x:c r="Z23" s="376"/>
      <x:c r="AA23" s="377"/>
    </x:row>
    <x:row r="24" ht="13.5" customHeight="1">
      <x:c r="B24" s="383" t="str">
        <x:v>5.2</x:v>
      </x:c>
      <x:c r="C24" s="370" t="str">
        <x:v>Tối ưu hiệu năng, giám sát và sao lưu</x:v>
      </x:c>
      <x:c r="D24" s="371"/>
      <x:c r="E24" s="371"/>
      <x:c r="F24" s="371"/>
      <x:c r="G24" s="371"/>
      <x:c r="H24" s="371"/>
      <x:c r="I24" s="371"/>
      <x:c r="J24" s="371"/>
      <x:c r="K24" s="374"/>
      <x:c r="L24" s="374"/>
      <x:c r="M24" s="373" t="str">
        <x:v>●</x:v>
      </x:c>
      <x:c r="N24" s="373" t="str">
        <x:v>●</x:v>
      </x:c>
      <x:c r="O24" s="374"/>
      <x:c r="P24" s="385"/>
      <x:c r="Q24" s="371"/>
      <x:c r="R24" s="371"/>
      <x:c r="S24" s="371"/>
      <x:c r="T24" s="371"/>
      <x:c r="U24" s="371"/>
      <x:c r="V24" s="371"/>
      <x:c r="W24" s="371"/>
      <x:c r="X24" s="371"/>
      <x:c r="Y24" s="376"/>
      <x:c r="Z24" s="376"/>
      <x:c r="AA24" s="377"/>
    </x:row>
    <x:row r="25" ht="13.5" customHeight="1">
      <x:c r="B25" s="383" t="str">
        <x:v>5.3</x:v>
      </x:c>
      <x:c r="C25" s="370" t="str">
        <x:v>UAT, đào tạo, triển khai production và bàn giao</x:v>
      </x:c>
      <x:c r="D25" s="371"/>
      <x:c r="E25" s="371"/>
      <x:c r="F25" s="371"/>
      <x:c r="G25" s="371"/>
      <x:c r="H25" s="371"/>
      <x:c r="I25" s="371"/>
      <x:c r="J25" s="371"/>
      <x:c r="K25" s="371"/>
      <x:c r="L25" s="371"/>
      <x:c r="M25" s="372" t="str">
        <x:v>●</x:v>
      </x:c>
      <x:c r="N25" s="372" t="str">
        <x:v>●</x:v>
      </x:c>
      <x:c r="O25" s="371"/>
      <x:c r="P25" s="385"/>
      <x:c r="Q25" s="371"/>
      <x:c r="R25" s="374"/>
      <x:c r="S25" s="374"/>
      <x:c r="T25" s="374"/>
      <x:c r="U25" s="371"/>
      <x:c r="V25" s="371"/>
      <x:c r="W25" s="371"/>
      <x:c r="X25" s="371"/>
      <x:c r="Y25" s="376"/>
      <x:c r="Z25" s="376"/>
      <x:c r="AA25" s="377"/>
    </x:row>
    <x:row r="26" ht="13.5" customHeight="1"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</x:row>
    <x:row r="27" ht="13.5" customHeight="1"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</x:row>
    <x:row r="28" ht="13.5" customHeight="1"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</x:row>
    <x:row r="29" ht="13.5" customHeight="1"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</x:row>
    <x:row r="30" ht="13.5" customHeight="1"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</x:row>
    <x:row r="31" ht="13.5" customHeight="1"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</x:row>
    <x:row r="32" ht="13.5" customHeight="1"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</x:row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B2:C3"/>
    <x:mergeCell ref="D2:O2"/>
    <x:mergeCell ref="P2:AA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7.1299991607666" customWidth="1"/>
    <x:col min="2" max="2" width="8.880000114440918" customWidth="1"/>
    <x:col min="3" max="3" width="24.3799991607666" customWidth="1"/>
    <x:col min="4" max="4" width="19.3799991607666" customWidth="1"/>
    <x:col min="5" max="5" width="36.130001068115234" customWidth="1"/>
    <x:col min="6" max="26" width="8.880000114440918" customWidth="1"/>
  </x:cols>
  <x:sheetData>
    <x:row r="1" ht="24.75" customHeight="1">
      <x:c r="A1" s="43" t="s">
        <x:v>0</x:v>
      </x:c>
      <x:c r="B1" s="44"/>
      <x:c r="C1" s="44"/>
      <x:c r="D1" s="44"/>
      <x:c r="E1" s="45"/>
    </x:row>
    <x:row r="2" ht="13.5" customHeight="1">
      <x:c r="A2" s="46" t="s">
        <x:v>1</x:v>
      </x:c>
      <x:c r="B2" s="47" t="str">
        <x:v>AI INVENTORY &amp; WASTE MANAGER</x:v>
      </x:c>
      <x:c r="C2" s="44"/>
      <x:c r="D2" s="44"/>
      <x:c r="E2" s="45"/>
    </x:row>
    <x:row r="3" ht="13.5" customHeight="1">
      <x:c r="A3" s="46" t="s">
        <x:v>2</x:v>
      </x:c>
      <x:c r="B3" s="47" t="str">
        <x:v>Doanh nghiệp F&amp;B / Đơn vị vận hành hệ thống</x:v>
      </x:c>
      <x:c r="C3" s="44"/>
      <x:c r="D3" s="44"/>
      <x:c r="E3" s="45"/>
    </x:row>
    <x:row r="4" ht="13.5" customHeight="1">
      <x:c r="A4" s="46" t="s">
        <x:v>3</x:v>
      </x:c>
      <x:c r="B4" s="48"/>
      <x:c r="C4" s="44"/>
      <x:c r="D4" s="44"/>
      <x:c r="E4" s="45"/>
    </x:row>
    <x:row r="5" ht="13.5" customHeight="1">
      <x:c r="A5" s="46" t="s">
        <x:v>4</x:v>
      </x:c>
      <x:c r="B5" s="49" t="str">
        <x:v>Hoàng Lương</x:v>
      </x:c>
      <x:c r="C5" s="44"/>
      <x:c r="D5" s="44"/>
      <x:c r="E5" s="45"/>
    </x:row>
    <x:row r="6" ht="13.5" customHeight="1">
      <x:c r="A6" s="46" t="s">
        <x:v>5</x:v>
      </x:c>
      <x:c r="B6" s="49" t="str">
        <x:v>Hoàng Lương</x:v>
      </x:c>
      <x:c r="C6" s="44"/>
      <x:c r="D6" s="44"/>
      <x:c r="E6" s="45"/>
    </x:row>
    <x:row r="7" ht="13.5" customHeight="1">
      <x:c r="A7" s="46" t="s">
        <x:v>6</x:v>
      </x:c>
      <x:c r="B7" s="49" t="str">
        <x:v>Nhóm phát triển AI Inventory &amp; Waste Manager</x:v>
      </x:c>
      <x:c r="C7" s="44"/>
      <x:c r="D7" s="44"/>
      <x:c r="E7" s="45"/>
    </x:row>
    <x:row r="8" ht="30.75" customHeight="1">
      <x:c r="A8" s="46" t="s">
        <x:v>7</x:v>
      </x:c>
      <x:c r="B8" s="394" t="n">
        <x:v>46217</x:v>
      </x:c>
      <x:c r="C8" s="45"/>
      <x:c r="D8" s="46" t="s">
        <x:v>8</x:v>
      </x:c>
      <x:c r="E8" s="395" t="n">
        <x:v>46311</x:v>
      </x:c>
    </x:row>
    <x:row r="9" ht="76.5" customHeight="1">
      <x:c r="A9" s="46" t="s">
        <x:v>9</x:v>
      </x:c>
      <x:c r="B9" s="396" t="str">
        <x:v>Xây dựng nền tảng SaaS đa cửa hàng giúp doanh nghiệp F&amp;B quản lý tồn kho theo lô và FEFO, cảnh báo rủi ro hết hạn/tồn thấp, ghi nhận lãng phí, dự báo nhu cầu đặt hàng và kiểm soát vận hành theo vai trò.</x:v>
      </x:c>
      <x:c r="C9" s="44"/>
      <x:c r="D9" s="44"/>
      <x:c r="E9" s="45"/>
      <x:c r="G9" s="52" t="s">
        <x:v>10</x:v>
      </x:c>
    </x:row>
    <x:row r="10" ht="31.5" customHeight="1">
      <x:c r="A10" s="46" t="s">
        <x:v>11</x:v>
      </x:c>
      <x:c r="B10" s="397" t="str">
        <x:v>Web application responsive; quản lý tenant/store; JWT &amp; RBAC; nguyên liệu, lô hàng, nhập/xuất FEFO; hao hụt; cảnh báo; dự báo; báo cáo; nhân sự; gói dịch vụ và quản trị hệ thống.</x:v>
      </x:c>
      <x:c r="C10" s="45"/>
      <x:c r="D10" s="46" t="s">
        <x:v>12</x:v>
      </x:c>
      <x:c r="E10" s="54" t="str">
        <x:v>Không bao gồm giao nhận vật lý, tính lương, kế toán tổng hợp, quản lý nhà cung cấp/PO đầy đủ và tích hợp POS thời gian thực trong giai đoạn hiện tại.</x:v>
      </x:c>
    </x:row>
    <x:row r="11" ht="13.5" customHeight="1">
      <x:c r="A11" s="55" t="s">
        <x:v>13</x:v>
      </x:c>
      <x:c r="B11" s="398" t="str">
        <x:v>Theo ngân sách được phê duyệt; effort ước tính chi tiết tại sheet 2. Price.</x:v>
      </x:c>
      <x:c r="C11" s="57"/>
      <x:c r="D11" s="55" t="s">
        <x:v>6</x:v>
      </x:c>
      <x:c r="E11" s="58" t="str">
        <x:v>Nhóm phát triển AI Inventory &amp; Waste Manager</x:v>
      </x:c>
    </x:row>
    <x:row r="12" ht="18" customHeight="1">
      <x:c r="A12" s="59"/>
      <x:c r="B12" s="399"/>
      <x:c r="C12" s="9"/>
      <x:c r="D12" s="59"/>
      <x:c r="E12" s="59"/>
    </x:row>
    <x:row r="13" ht="13.5" customHeight="1">
      <x:c r="A13" s="55" t="s">
        <x:v>14</x:v>
      </x:c>
      <x:c r="B13" s="400" t="str">
        <x:v>Mã nguồn frontend React/TypeScript và backend Spring Boot; CSDL MySQL/Flyway; tài liệu SRS và thiết kế kỹ thuật; bộ kiểm thử; hướng dẫn triển khai/vận hành; hệ thống UAT đáp ứng phạm vi, bảo mật cách ly tenant và quy trình FEFO.</x:v>
      </x:c>
      <x:c r="C13" s="62"/>
      <x:c r="D13" s="62"/>
      <x:c r="E13" s="57"/>
    </x:row>
    <x:row r="14" ht="13.5" customHeight="1">
      <x:c r="A14" s="63"/>
      <x:c r="B14" s="64"/>
      <x:c r="E14" s="65"/>
    </x:row>
    <x:row r="15" ht="24" customHeight="1">
      <x:c r="A15" s="59"/>
      <x:c r="B15" s="60"/>
      <x:c r="C15" s="66"/>
      <x:c r="D15" s="66"/>
      <x:c r="E15" s="9"/>
    </x:row>
    <x:row r="16" ht="13.5" customHeight="1">
      <x:c r="A16" s="67"/>
      <x:c r="B16" s="67"/>
      <x:c r="C16" s="67"/>
      <x:c r="D16" s="67"/>
      <x:c r="E16" s="67"/>
    </x:row>
    <x:row r="17" ht="13.5" customHeight="1">
      <x:c r="A17" s="67"/>
      <x:c r="B17" s="67"/>
      <x:c r="C17" s="67"/>
      <x:c r="D17" s="67"/>
      <x:c r="E17" s="67"/>
    </x:row>
    <x:row r="18" ht="13.5" customHeight="1">
      <x:c r="A18" s="67"/>
      <x:c r="B18" s="67"/>
      <x:c r="C18" s="67"/>
      <x:c r="D18" s="67"/>
      <x:c r="E18" s="67"/>
    </x:row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E1"/>
    <x:mergeCell ref="B2:E2"/>
    <x:mergeCell ref="B3:E3"/>
    <x:mergeCell ref="B4:E4"/>
    <x:mergeCell ref="B5:E5"/>
    <x:mergeCell ref="B6:E6"/>
    <x:mergeCell ref="B7:E7"/>
    <x:mergeCell ref="A13:A15"/>
    <x:mergeCell ref="B13:E15"/>
    <x:mergeCell ref="B8:C8"/>
    <x:mergeCell ref="B9:E9"/>
    <x:mergeCell ref="B10:C10"/>
    <x:mergeCell ref="A11:A12"/>
    <x:mergeCell ref="B11:C12"/>
    <x:mergeCell ref="D11:D12"/>
    <x:mergeCell ref="E11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4.880000114440918" customWidth="1"/>
    <x:col min="2" max="2" width="48.130001068115234" customWidth="1"/>
    <x:col min="3" max="3" width="4.130000114440918" hidden="1" customWidth="1"/>
    <x:col min="4" max="4" width="10.380000114440918" customWidth="1"/>
    <x:col min="5" max="5" width="7.5" hidden="1" customWidth="1"/>
    <x:col min="6" max="6" width="8.130000114440918" hidden="1" customWidth="1"/>
    <x:col min="7" max="7" width="8.880000114440918" hidden="1" customWidth="1"/>
    <x:col min="8" max="39" width="3.130000114440918" customWidth="1"/>
    <x:col min="40" max="40" width="9" customWidth="1"/>
    <x:col min="41" max="41" width="10.380000114440918" customWidth="1"/>
  </x:cols>
  <x:sheetData>
    <x:row r="1">
      <x:c r="A1" s="68"/>
      <x:c r="B1" s="68"/>
      <x:c r="C1" s="68"/>
      <x:c r="D1" s="68"/>
      <x:c r="E1" s="68"/>
      <x:c r="F1" s="68"/>
      <x:c r="G1" s="69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  <x:c r="AA1" s="68"/>
      <x:c r="AB1" s="68"/>
      <x:c r="AC1" s="68"/>
      <x:c r="AD1" s="68"/>
      <x:c r="AE1" s="68"/>
      <x:c r="AF1" s="68"/>
      <x:c r="AG1" s="68"/>
      <x:c r="AH1" s="68"/>
      <x:c r="AI1" s="68"/>
      <x:c r="AJ1" s="68"/>
      <x:c r="AK1" s="68"/>
      <x:c r="AL1" s="68"/>
      <x:c r="AM1" s="68"/>
      <x:c r="AN1" s="68"/>
      <x:c r="AO1" s="70" t="s">
        <x:v>15</x:v>
      </x:c>
    </x:row>
    <x:row r="2">
      <x:c r="A2" s="71" t="s">
        <x:v>16</x:v>
      </x:c>
      <x:c r="R2" s="71"/>
      <x:c r="S2" s="71"/>
      <x:c r="T2" s="71"/>
      <x:c r="U2" s="71"/>
      <x:c r="V2" s="71"/>
      <x:c r="W2" s="71"/>
      <x:c r="X2" s="71"/>
      <x:c r="Y2" s="71"/>
      <x:c r="Z2" s="71"/>
      <x:c r="AA2" s="71"/>
      <x:c r="AB2" s="71"/>
      <x:c r="AC2" s="71"/>
      <x:c r="AD2" s="71"/>
      <x:c r="AE2" s="71"/>
      <x:c r="AF2" s="71"/>
      <x:c r="AG2" s="71"/>
      <x:c r="AH2" s="71"/>
      <x:c r="AI2" s="71"/>
      <x:c r="AJ2" s="71"/>
      <x:c r="AK2" s="71"/>
      <x:c r="AL2" s="71"/>
      <x:c r="AM2" s="71"/>
      <x:c r="AN2" s="68"/>
      <x:c r="AO2" s="70" t="s">
        <x:v>17</x:v>
      </x:c>
    </x:row>
    <x:row r="3">
      <x:c r="A3" s="68"/>
      <x:c r="B3" s="68"/>
      <x:c r="C3" s="68"/>
      <x:c r="D3" s="68"/>
      <x:c r="E3" s="68"/>
      <x:c r="F3" s="68"/>
      <x:c r="G3" s="69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  <x:c r="AC3" s="68"/>
      <x:c r="AD3" s="68"/>
      <x:c r="AE3" s="68"/>
      <x:c r="AF3" s="68"/>
      <x:c r="AG3" s="68"/>
      <x:c r="AH3" s="68"/>
      <x:c r="AI3" s="68"/>
      <x:c r="AJ3" s="68"/>
      <x:c r="AK3" s="68"/>
      <x:c r="AL3" s="68"/>
      <x:c r="AM3" s="68"/>
      <x:c r="AN3" s="68"/>
      <x:c r="AO3" s="70" t="s">
        <x:v>18</x:v>
      </x:c>
    </x:row>
    <x:row r="4" ht="18.75" customHeight="1">
      <x:c r="A4" s="72" t="str">
        <x:v>TRIỂN KHAI AI INVENTORY &amp; WASTE MANAGER</x:v>
      </x:c>
      <x:c r="B4" s="62"/>
      <x:c r="C4" s="62"/>
      <x:c r="D4" s="62"/>
      <x:c r="E4" s="62"/>
      <x:c r="F4" s="62"/>
      <x:c r="G4" s="57"/>
      <x:c r="H4" s="73" t="n">
        <x:v>2026</x:v>
      </x:c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  <x:c r="AD4" s="62"/>
      <x:c r="AE4" s="57"/>
      <x:c r="AF4" s="73" t="n">
        <x:v>2027</x:v>
      </x:c>
      <x:c r="AG4" s="62"/>
      <x:c r="AH4" s="62"/>
      <x:c r="AI4" s="62"/>
      <x:c r="AJ4" s="62"/>
      <x:c r="AK4" s="62"/>
      <x:c r="AL4" s="62"/>
      <x:c r="AM4" s="57"/>
      <x:c r="AN4" s="68"/>
      <x:c r="AO4" s="68"/>
    </x:row>
    <x:row r="5" ht="18.75" customHeight="1">
      <x:c r="A5" s="60"/>
      <x:c r="B5" s="66"/>
      <x:c r="C5" s="66"/>
      <x:c r="D5" s="66"/>
      <x:c r="E5" s="66"/>
      <x:c r="F5" s="66"/>
      <x:c r="G5" s="9"/>
      <x:c r="H5" s="60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  <x:c r="X5" s="66"/>
      <x:c r="Y5" s="66"/>
      <x:c r="Z5" s="66"/>
      <x:c r="AA5" s="66"/>
      <x:c r="AB5" s="66"/>
      <x:c r="AC5" s="66"/>
      <x:c r="AD5" s="66"/>
      <x:c r="AE5" s="9"/>
      <x:c r="AF5" s="60"/>
      <x:c r="AG5" s="66"/>
      <x:c r="AH5" s="66"/>
      <x:c r="AI5" s="66"/>
      <x:c r="AJ5" s="66"/>
      <x:c r="AK5" s="66"/>
      <x:c r="AL5" s="66"/>
      <x:c r="AM5" s="9"/>
      <x:c r="AN5" s="68"/>
      <x:c r="AO5" s="68"/>
    </x:row>
    <x:row r="6" ht="21.75" customHeight="1">
      <x:c r="A6" s="74" t="s">
        <x:v>19</x:v>
      </x:c>
      <x:c r="B6" s="74" t="s">
        <x:v>20</x:v>
      </x:c>
      <x:c r="C6" s="75" t="n">
        <x:f>Y2-X2+Z2</x:f>
        <x:v>0</x:v>
      </x:c>
      <x:c r="D6" s="74" t="s">
        <x:v>21</x:v>
      </x:c>
      <x:c r="E6" s="76" t="s">
        <x:v>22</x:v>
      </x:c>
      <x:c r="F6" s="45"/>
      <x:c r="G6" s="77" t="s">
        <x:v>23</x:v>
      </x:c>
      <x:c r="H6" s="78" t="s">
        <x:v>24</x:v>
      </x:c>
      <x:c r="I6" s="44"/>
      <x:c r="J6" s="44"/>
      <x:c r="K6" s="45"/>
      <x:c r="L6" s="78" t="s">
        <x:v>25</x:v>
      </x:c>
      <x:c r="M6" s="44"/>
      <x:c r="N6" s="44"/>
      <x:c r="O6" s="45"/>
      <x:c r="P6" s="78" t="s">
        <x:v>26</x:v>
      </x:c>
      <x:c r="Q6" s="44"/>
      <x:c r="R6" s="44"/>
      <x:c r="S6" s="45"/>
      <x:c r="T6" s="78" t="s">
        <x:v>27</x:v>
      </x:c>
      <x:c r="U6" s="44"/>
      <x:c r="V6" s="44"/>
      <x:c r="W6" s="45"/>
      <x:c r="X6" s="78" t="s">
        <x:v>28</x:v>
      </x:c>
      <x:c r="Y6" s="44"/>
      <x:c r="Z6" s="44"/>
      <x:c r="AA6" s="45"/>
      <x:c r="AB6" s="78" t="s">
        <x:v>29</x:v>
      </x:c>
      <x:c r="AC6" s="44"/>
      <x:c r="AD6" s="44"/>
      <x:c r="AE6" s="45"/>
      <x:c r="AF6" s="78" t="s">
        <x:v>30</x:v>
      </x:c>
      <x:c r="AG6" s="44"/>
      <x:c r="AH6" s="44"/>
      <x:c r="AI6" s="45"/>
      <x:c r="AJ6" s="78" t="s">
        <x:v>31</x:v>
      </x:c>
      <x:c r="AK6" s="44"/>
      <x:c r="AL6" s="44"/>
      <x:c r="AM6" s="45"/>
      <x:c r="AN6" s="68"/>
      <x:c r="AO6" s="68"/>
    </x:row>
    <x:row r="7" ht="29.25" customHeight="1">
      <x:c r="A7" s="59"/>
      <x:c r="B7" s="59"/>
      <x:c r="C7" s="79" t="s">
        <x:v>32</x:v>
      </x:c>
      <x:c r="D7" s="59"/>
      <x:c r="E7" s="75" t="s">
        <x:v>33</x:v>
      </x:c>
      <x:c r="F7" s="75" t="s">
        <x:v>34</x:v>
      </x:c>
      <x:c r="G7" s="59"/>
      <x:c r="H7" s="80" t="s">
        <x:v>35</x:v>
      </x:c>
      <x:c r="I7" s="80" t="s">
        <x:v>36</x:v>
      </x:c>
      <x:c r="J7" s="80" t="s">
        <x:v>37</x:v>
      </x:c>
      <x:c r="K7" s="80" t="s">
        <x:v>38</x:v>
      </x:c>
      <x:c r="L7" s="80" t="s">
        <x:v>35</x:v>
      </x:c>
      <x:c r="M7" s="80" t="s">
        <x:v>36</x:v>
      </x:c>
      <x:c r="N7" s="80" t="s">
        <x:v>37</x:v>
      </x:c>
      <x:c r="O7" s="80" t="s">
        <x:v>38</x:v>
      </x:c>
      <x:c r="P7" s="80" t="s">
        <x:v>35</x:v>
      </x:c>
      <x:c r="Q7" s="80" t="s">
        <x:v>36</x:v>
      </x:c>
      <x:c r="R7" s="80" t="s">
        <x:v>37</x:v>
      </x:c>
      <x:c r="S7" s="80" t="s">
        <x:v>38</x:v>
      </x:c>
      <x:c r="T7" s="80" t="s">
        <x:v>35</x:v>
      </x:c>
      <x:c r="U7" s="80" t="s">
        <x:v>36</x:v>
      </x:c>
      <x:c r="V7" s="80" t="s">
        <x:v>37</x:v>
      </x:c>
      <x:c r="W7" s="80" t="s">
        <x:v>38</x:v>
      </x:c>
      <x:c r="X7" s="80" t="s">
        <x:v>35</x:v>
      </x:c>
      <x:c r="Y7" s="80" t="s">
        <x:v>36</x:v>
      </x:c>
      <x:c r="Z7" s="80" t="s">
        <x:v>37</x:v>
      </x:c>
      <x:c r="AA7" s="80" t="s">
        <x:v>38</x:v>
      </x:c>
      <x:c r="AB7" s="80" t="s">
        <x:v>35</x:v>
      </x:c>
      <x:c r="AC7" s="80" t="s">
        <x:v>36</x:v>
      </x:c>
      <x:c r="AD7" s="80" t="s">
        <x:v>37</x:v>
      </x:c>
      <x:c r="AE7" s="80" t="s">
        <x:v>38</x:v>
      </x:c>
      <x:c r="AF7" s="80" t="s">
        <x:v>35</x:v>
      </x:c>
      <x:c r="AG7" s="80" t="s">
        <x:v>36</x:v>
      </x:c>
      <x:c r="AH7" s="80" t="s">
        <x:v>37</x:v>
      </x:c>
      <x:c r="AI7" s="80" t="s">
        <x:v>38</x:v>
      </x:c>
      <x:c r="AJ7" s="80" t="s">
        <x:v>35</x:v>
      </x:c>
      <x:c r="AK7" s="80" t="s">
        <x:v>36</x:v>
      </x:c>
      <x:c r="AL7" s="80" t="s">
        <x:v>37</x:v>
      </x:c>
      <x:c r="AM7" s="80" t="s">
        <x:v>38</x:v>
      </x:c>
      <x:c r="AN7" s="68"/>
      <x:c r="AO7" s="68"/>
    </x:row>
    <x:row r="8">
      <x:c r="A8" s="81" t="str">
        <x:v>KHỞI TẠO DỰ ÁN</x:v>
      </x:c>
      <x:c r="B8" s="448" t="str"/>
      <x:c r="C8" s="44"/>
      <x:c r="D8" s="44"/>
      <x:c r="E8" s="44"/>
      <x:c r="F8" s="44"/>
      <x:c r="G8" s="489"/>
      <x:c r="H8" s="486"/>
      <x:c r="I8" s="486"/>
      <x:c r="J8" s="486"/>
      <x:c r="K8" s="486"/>
      <x:c r="L8" s="486"/>
      <x:c r="M8" s="486"/>
      <x:c r="N8" s="486"/>
      <x:c r="O8" s="486"/>
      <x:c r="P8" s="486"/>
      <x:c r="Q8" s="486"/>
      <x:c r="R8" s="486"/>
      <x:c r="S8" s="486"/>
      <x:c r="T8" s="486"/>
      <x:c r="U8" s="486"/>
      <x:c r="V8" s="486"/>
      <x:c r="W8" s="486"/>
      <x:c r="X8" s="486"/>
      <x:c r="Y8" s="486"/>
      <x:c r="Z8" s="486"/>
      <x:c r="AA8" s="486"/>
      <x:c r="AB8" s="486"/>
      <x:c r="AC8" s="486"/>
      <x:c r="AD8" s="486"/>
      <x:c r="AE8" s="486"/>
      <x:c r="AF8" s="486"/>
      <x:c r="AG8" s="486"/>
      <x:c r="AH8" s="486"/>
      <x:c r="AI8" s="486"/>
      <x:c r="AJ8" s="486"/>
      <x:c r="AK8" s="486"/>
      <x:c r="AL8" s="486"/>
      <x:c r="AM8" s="486"/>
      <x:c r="AN8" s="487"/>
      <x:c r="AO8" s="487"/>
    </x:row>
    <x:row r="9" ht="15" customHeight="1">
      <x:c r="A9" s="83" t="str">
        <x:v>KT01</x:v>
      </x:c>
      <x:c r="B9" s="491" t="str">
        <x:v>Kick-off và Project Charter</x:v>
      </x:c>
      <x:c r="C9" s="85" t="n">
        <x:v>1</x:v>
      </x:c>
      <x:c r="D9" s="70" t="str">
        <x:v>Done</x:v>
      </x:c>
      <x:c r="E9" s="70" t="str">
        <x:v>PM</x:v>
      </x:c>
      <x:c r="F9" s="70"/>
      <x:c r="G9" s="490" t="n">
        <x:v>46217</x:v>
      </x:c>
      <x:c r="H9" s="488"/>
      <x:c r="I9" s="488"/>
      <x:c r="J9" s="488"/>
      <x:c r="K9" s="488"/>
      <x:c r="L9" s="488"/>
      <x:c r="M9" s="488"/>
      <x:c r="N9" s="488"/>
      <x:c r="O9" s="488"/>
      <x:c r="P9" s="488"/>
      <x:c r="Q9" s="488"/>
      <x:c r="R9" s="488"/>
      <x:c r="S9" s="488"/>
      <x:c r="T9" s="488"/>
      <x:c r="U9" s="488"/>
      <x:c r="V9" s="488"/>
      <x:c r="W9" s="488"/>
      <x:c r="X9" s="488"/>
      <x:c r="Y9" s="488"/>
      <x:c r="Z9" s="488"/>
      <x:c r="AA9" s="488"/>
      <x:c r="AB9" s="488"/>
      <x:c r="AC9" s="488"/>
      <x:c r="AD9" s="488"/>
      <x:c r="AE9" s="488"/>
      <x:c r="AF9" s="488"/>
      <x:c r="AG9" s="488"/>
      <x:c r="AH9" s="488"/>
      <x:c r="AI9" s="488"/>
      <x:c r="AJ9" s="488"/>
      <x:c r="AK9" s="488"/>
      <x:c r="AL9" s="488"/>
      <x:c r="AM9" s="488"/>
      <x:c r="AN9" s="487"/>
      <x:c r="AO9" s="487"/>
    </x:row>
    <x:row r="10">
      <x:c r="A10" s="83" t="str">
        <x:v>KT02</x:v>
      </x:c>
      <x:c r="B10" s="491" t="str">
        <x:v>Phân tích nghiệp vụ và hoàn thiện SRS</x:v>
      </x:c>
      <x:c r="C10" s="85" t="n">
        <x:v>8</x:v>
      </x:c>
      <x:c r="D10" s="70" t="str">
        <x:v>In progress</x:v>
      </x:c>
      <x:c r="E10" s="70" t="str">
        <x:v>BA</x:v>
      </x:c>
      <x:c r="F10" s="70"/>
      <x:c r="G10" s="490" t="n">
        <x:v>46226</x:v>
      </x:c>
      <x:c r="H10" s="488"/>
      <x:c r="I10" s="488"/>
      <x:c r="J10" s="488"/>
      <x:c r="K10" s="488"/>
      <x:c r="L10" s="488"/>
      <x:c r="M10" s="488"/>
      <x:c r="N10" s="488"/>
      <x:c r="O10" s="488"/>
      <x:c r="P10" s="488"/>
      <x:c r="Q10" s="488"/>
      <x:c r="R10" s="488"/>
      <x:c r="S10" s="488"/>
      <x:c r="T10" s="488"/>
      <x:c r="U10" s="488"/>
      <x:c r="V10" s="488"/>
      <x:c r="W10" s="488"/>
      <x:c r="X10" s="488"/>
      <x:c r="Y10" s="488"/>
      <x:c r="Z10" s="488"/>
      <x:c r="AA10" s="488"/>
      <x:c r="AB10" s="488"/>
      <x:c r="AC10" s="488"/>
      <x:c r="AD10" s="488"/>
      <x:c r="AE10" s="488"/>
      <x:c r="AF10" s="488"/>
      <x:c r="AG10" s="488"/>
      <x:c r="AH10" s="488"/>
      <x:c r="AI10" s="488"/>
      <x:c r="AJ10" s="488"/>
      <x:c r="AK10" s="488"/>
      <x:c r="AL10" s="488"/>
      <x:c r="AM10" s="488"/>
      <x:c r="AN10" s="487"/>
      <x:c r="AO10" s="487"/>
    </x:row>
    <x:row r="11">
      <x:c r="A11" s="83" t="str">
        <x:v>KT03</x:v>
      </x:c>
      <x:c r="B11" s="491" t="str">
        <x:v>Thiết kế kiến trúc, CSDL và bảo mật</x:v>
      </x:c>
      <x:c r="C11" s="85" t="n">
        <x:v>8</x:v>
      </x:c>
      <x:c r="D11" s="70" t="str">
        <x:v>In progress</x:v>
      </x:c>
      <x:c r="E11" s="70" t="str">
        <x:v>Tech Lead</x:v>
      </x:c>
      <x:c r="F11" s="70"/>
      <x:c r="G11" s="490" t="n">
        <x:v>46227</x:v>
      </x:c>
      <x:c r="H11" s="488"/>
      <x:c r="I11" s="488"/>
      <x:c r="J11" s="488"/>
      <x:c r="K11" s="488"/>
      <x:c r="L11" s="488"/>
      <x:c r="M11" s="488"/>
      <x:c r="N11" s="488"/>
      <x:c r="O11" s="488"/>
      <x:c r="P11" s="488"/>
      <x:c r="Q11" s="488"/>
      <x:c r="R11" s="488"/>
      <x:c r="S11" s="488"/>
      <x:c r="T11" s="488"/>
      <x:c r="U11" s="488"/>
      <x:c r="V11" s="488"/>
      <x:c r="W11" s="488"/>
      <x:c r="X11" s="488"/>
      <x:c r="Y11" s="488"/>
      <x:c r="Z11" s="488"/>
      <x:c r="AA11" s="488"/>
      <x:c r="AB11" s="488"/>
      <x:c r="AC11" s="488"/>
      <x:c r="AD11" s="488"/>
      <x:c r="AE11" s="488"/>
      <x:c r="AF11" s="488"/>
      <x:c r="AG11" s="488"/>
      <x:c r="AH11" s="488"/>
      <x:c r="AI11" s="488"/>
      <x:c r="AJ11" s="488"/>
      <x:c r="AK11" s="488"/>
      <x:c r="AL11" s="488"/>
      <x:c r="AM11" s="488"/>
      <x:c r="AN11" s="487"/>
      <x:c r="AO11" s="487"/>
    </x:row>
    <x:row r="12">
      <x:c r="A12" s="83" t="str">
        <x:v>WORKSTREAM 1</x:v>
      </x:c>
      <x:c r="B12" s="491" t="str">
        <x:v>NỀN TẢNG &amp; BẢO MẬT</x:v>
      </x:c>
      <x:c r="C12" s="85"/>
      <x:c r="D12" s="70"/>
      <x:c r="E12" s="70"/>
      <x:c r="F12" s="70"/>
      <x:c r="G12" s="490"/>
      <x:c r="H12" s="488"/>
      <x:c r="I12" s="488"/>
      <x:c r="J12" s="488"/>
      <x:c r="K12" s="488"/>
      <x:c r="L12" s="488"/>
      <x:c r="M12" s="488"/>
      <x:c r="N12" s="488"/>
      <x:c r="O12" s="488"/>
      <x:c r="P12" s="488"/>
      <x:c r="Q12" s="488"/>
      <x:c r="R12" s="488"/>
      <x:c r="S12" s="488"/>
      <x:c r="T12" s="488"/>
      <x:c r="U12" s="488"/>
      <x:c r="V12" s="488"/>
      <x:c r="W12" s="488"/>
      <x:c r="X12" s="488"/>
      <x:c r="Y12" s="488"/>
      <x:c r="Z12" s="488"/>
      <x:c r="AA12" s="488"/>
      <x:c r="AB12" s="488"/>
      <x:c r="AC12" s="488"/>
      <x:c r="AD12" s="488"/>
      <x:c r="AE12" s="488"/>
      <x:c r="AF12" s="488"/>
      <x:c r="AG12" s="488"/>
      <x:c r="AH12" s="488"/>
      <x:c r="AI12" s="488"/>
      <x:c r="AJ12" s="488"/>
      <x:c r="AK12" s="488"/>
      <x:c r="AL12" s="488"/>
      <x:c r="AM12" s="488"/>
      <x:c r="AN12" s="487"/>
      <x:c r="AO12" s="487"/>
    </x:row>
    <x:row r="13">
      <x:c r="A13" s="83" t="str">
        <x:v>WS01.1</x:v>
      </x:c>
      <x:c r="B13" s="491" t="str">
        <x:v>Auth, refresh token và đổi mật khẩu</x:v>
      </x:c>
      <x:c r="C13" s="85" t="n">
        <x:v>8</x:v>
      </x:c>
      <x:c r="D13" s="70" t="str">
        <x:v>In progress</x:v>
      </x:c>
      <x:c r="E13" s="70" t="str">
        <x:v>Backend</x:v>
      </x:c>
      <x:c r="F13" s="70"/>
      <x:c r="G13" s="490" t="n">
        <x:v>46237</x:v>
      </x:c>
      <x:c r="H13" s="488"/>
      <x:c r="I13" s="488"/>
      <x:c r="J13" s="488"/>
      <x:c r="K13" s="488"/>
      <x:c r="L13" s="488"/>
      <x:c r="M13" s="488"/>
      <x:c r="N13" s="488"/>
      <x:c r="O13" s="488"/>
      <x:c r="P13" s="488"/>
      <x:c r="Q13" s="488"/>
      <x:c r="R13" s="488"/>
      <x:c r="S13" s="488"/>
      <x:c r="T13" s="488"/>
      <x:c r="U13" s="488"/>
      <x:c r="V13" s="488"/>
      <x:c r="W13" s="488"/>
      <x:c r="X13" s="488"/>
      <x:c r="Y13" s="488"/>
      <x:c r="Z13" s="488"/>
      <x:c r="AA13" s="488"/>
      <x:c r="AB13" s="488"/>
      <x:c r="AC13" s="488"/>
      <x:c r="AD13" s="488"/>
      <x:c r="AE13" s="488"/>
      <x:c r="AF13" s="488"/>
      <x:c r="AG13" s="488"/>
      <x:c r="AH13" s="488"/>
      <x:c r="AI13" s="488"/>
      <x:c r="AJ13" s="488"/>
      <x:c r="AK13" s="488"/>
      <x:c r="AL13" s="488"/>
      <x:c r="AM13" s="488"/>
      <x:c r="AN13" s="487"/>
      <x:c r="AO13" s="487"/>
    </x:row>
    <x:row r="14">
      <x:c r="A14" s="83" t="str">
        <x:v>WS01.2</x:v>
      </x:c>
      <x:c r="B14" s="491" t="str">
        <x:v>RBAC, Tenant Context và multi-store</x:v>
      </x:c>
      <x:c r="C14" s="85" t="n">
        <x:v>14</x:v>
      </x:c>
      <x:c r="D14" s="70" t="str">
        <x:v>Not start</x:v>
      </x:c>
      <x:c r="E14" s="70" t="str">
        <x:v>Full-stack</x:v>
      </x:c>
      <x:c r="F14" s="70"/>
      <x:c r="G14" s="490" t="n">
        <x:v>46248</x:v>
      </x:c>
      <x:c r="H14" s="488"/>
      <x:c r="I14" s="488"/>
      <x:c r="J14" s="488"/>
      <x:c r="K14" s="488"/>
      <x:c r="L14" s="488"/>
      <x:c r="M14" s="488"/>
      <x:c r="N14" s="488"/>
      <x:c r="O14" s="488"/>
      <x:c r="P14" s="488"/>
      <x:c r="Q14" s="488"/>
      <x:c r="R14" s="488"/>
      <x:c r="S14" s="488"/>
      <x:c r="T14" s="488"/>
      <x:c r="U14" s="488"/>
      <x:c r="V14" s="488"/>
      <x:c r="W14" s="488"/>
      <x:c r="X14" s="488"/>
      <x:c r="Y14" s="488"/>
      <x:c r="Z14" s="488"/>
      <x:c r="AA14" s="488"/>
      <x:c r="AB14" s="488"/>
      <x:c r="AC14" s="488"/>
      <x:c r="AD14" s="488"/>
      <x:c r="AE14" s="488"/>
      <x:c r="AF14" s="488"/>
      <x:c r="AG14" s="488"/>
      <x:c r="AH14" s="488"/>
      <x:c r="AI14" s="488"/>
      <x:c r="AJ14" s="488"/>
      <x:c r="AK14" s="488"/>
      <x:c r="AL14" s="488"/>
      <x:c r="AM14" s="488"/>
      <x:c r="AN14" s="487"/>
      <x:c r="AO14" s="487"/>
    </x:row>
    <x:row r="15">
      <x:c r="A15" s="83" t="str">
        <x:v>WORKSTREAM 2</x:v>
      </x:c>
      <x:c r="B15" s="491" t="str">
        <x:v>QUẢN LÝ KHO FEFO</x:v>
      </x:c>
      <x:c r="C15" s="85"/>
      <x:c r="D15" s="70"/>
      <x:c r="E15" s="70"/>
      <x:c r="F15" s="70"/>
      <x:c r="G15" s="490"/>
      <x:c r="H15" s="488"/>
      <x:c r="I15" s="488"/>
      <x:c r="J15" s="488"/>
      <x:c r="K15" s="488"/>
      <x:c r="L15" s="488"/>
      <x:c r="M15" s="488"/>
      <x:c r="N15" s="488"/>
      <x:c r="O15" s="488"/>
      <x:c r="P15" s="488"/>
      <x:c r="Q15" s="488"/>
      <x:c r="R15" s="488"/>
      <x:c r="S15" s="488"/>
      <x:c r="T15" s="488"/>
      <x:c r="U15" s="488"/>
      <x:c r="V15" s="488"/>
      <x:c r="W15" s="488"/>
      <x:c r="X15" s="488"/>
      <x:c r="Y15" s="488"/>
      <x:c r="Z15" s="488"/>
      <x:c r="AA15" s="488"/>
      <x:c r="AB15" s="488"/>
      <x:c r="AC15" s="488"/>
      <x:c r="AD15" s="488"/>
      <x:c r="AE15" s="488"/>
      <x:c r="AF15" s="488"/>
      <x:c r="AG15" s="488"/>
      <x:c r="AH15" s="488"/>
      <x:c r="AI15" s="488"/>
      <x:c r="AJ15" s="488"/>
      <x:c r="AK15" s="488"/>
      <x:c r="AL15" s="488"/>
      <x:c r="AM15" s="488"/>
      <x:c r="AN15" s="487"/>
      <x:c r="AO15" s="487"/>
    </x:row>
    <x:row r="16">
      <x:c r="A16" s="81" t="str">
        <x:v>WS02.1</x:v>
      </x:c>
      <x:c r="B16" s="448" t="str">
        <x:v>Nguyên liệu và nhập kho theo lô</x:v>
      </x:c>
      <x:c r="C16" s="44" t="n">
        <x:v>14</x:v>
      </x:c>
      <x:c r="D16" s="44" t="str">
        <x:v>Not start</x:v>
      </x:c>
      <x:c r="E16" s="44" t="str">
        <x:v>Full-stack</x:v>
      </x:c>
      <x:c r="F16" s="44"/>
      <x:c r="G16" s="489" t="n">
        <x:v>46258</x:v>
      </x:c>
      <x:c r="H16" s="486"/>
      <x:c r="I16" s="486"/>
      <x:c r="J16" s="486"/>
      <x:c r="K16" s="486"/>
      <x:c r="L16" s="486"/>
      <x:c r="M16" s="486"/>
      <x:c r="N16" s="486"/>
      <x:c r="O16" s="486"/>
      <x:c r="P16" s="486"/>
      <x:c r="Q16" s="486"/>
      <x:c r="R16" s="486"/>
      <x:c r="S16" s="486"/>
      <x:c r="T16" s="486"/>
      <x:c r="U16" s="486"/>
      <x:c r="V16" s="486"/>
      <x:c r="W16" s="486"/>
      <x:c r="X16" s="486"/>
      <x:c r="Y16" s="486"/>
      <x:c r="Z16" s="486"/>
      <x:c r="AA16" s="486"/>
      <x:c r="AB16" s="486"/>
      <x:c r="AC16" s="486"/>
      <x:c r="AD16" s="486"/>
      <x:c r="AE16" s="486"/>
      <x:c r="AF16" s="486"/>
      <x:c r="AG16" s="486"/>
      <x:c r="AH16" s="486"/>
      <x:c r="AI16" s="486"/>
      <x:c r="AJ16" s="486"/>
      <x:c r="AK16" s="486"/>
      <x:c r="AL16" s="486"/>
      <x:c r="AM16" s="486"/>
      <x:c r="AN16" s="487"/>
      <x:c r="AO16" s="487"/>
    </x:row>
    <x:row r="17">
      <x:c r="A17" s="83" t="str">
        <x:v>WS02.2</x:v>
      </x:c>
      <x:c r="B17" s="491" t="str">
        <x:v>Xuất kho FEFO và kiểm soát đồng thời</x:v>
      </x:c>
      <x:c r="C17" s="85" t="n">
        <x:v>10</x:v>
      </x:c>
      <x:c r="D17" s="70" t="str">
        <x:v>Not start</x:v>
      </x:c>
      <x:c r="E17" s="70" t="str">
        <x:v>Backend</x:v>
      </x:c>
      <x:c r="F17" s="70"/>
      <x:c r="G17" s="490" t="n">
        <x:v>46265</x:v>
      </x:c>
      <x:c r="H17" s="488"/>
      <x:c r="I17" s="488"/>
      <x:c r="J17" s="488"/>
      <x:c r="K17" s="488"/>
      <x:c r="L17" s="488"/>
      <x:c r="M17" s="488"/>
      <x:c r="N17" s="488"/>
      <x:c r="O17" s="488"/>
      <x:c r="P17" s="488"/>
      <x:c r="Q17" s="488"/>
      <x:c r="R17" s="488"/>
      <x:c r="S17" s="488"/>
      <x:c r="T17" s="488"/>
      <x:c r="U17" s="488"/>
      <x:c r="V17" s="488"/>
      <x:c r="W17" s="488"/>
      <x:c r="X17" s="488"/>
      <x:c r="Y17" s="488"/>
      <x:c r="Z17" s="488"/>
      <x:c r="AA17" s="488"/>
      <x:c r="AB17" s="488"/>
      <x:c r="AC17" s="488"/>
      <x:c r="AD17" s="488"/>
      <x:c r="AE17" s="488"/>
      <x:c r="AF17" s="488"/>
      <x:c r="AG17" s="488"/>
      <x:c r="AH17" s="488"/>
      <x:c r="AI17" s="488"/>
      <x:c r="AJ17" s="488"/>
      <x:c r="AK17" s="488"/>
      <x:c r="AL17" s="488"/>
      <x:c r="AM17" s="488"/>
      <x:c r="AN17" s="487"/>
      <x:c r="AO17" s="487"/>
    </x:row>
    <x:row r="18">
      <x:c r="A18" s="83" t="str">
        <x:v>WS02.3</x:v>
      </x:c>
      <x:c r="B18" s="491" t="str">
        <x:v>Hao hụt, giao dịch và kiểm kê</x:v>
      </x:c>
      <x:c r="C18" s="85" t="n">
        <x:v>10</x:v>
      </x:c>
      <x:c r="D18" s="70" t="str">
        <x:v>Not start</x:v>
      </x:c>
      <x:c r="E18" s="70" t="str">
        <x:v>Full-stack</x:v>
      </x:c>
      <x:c r="F18" s="70"/>
      <x:c r="G18" s="490" t="n">
        <x:v>46269</x:v>
      </x:c>
      <x:c r="H18" s="488"/>
      <x:c r="I18" s="488"/>
      <x:c r="J18" s="488"/>
      <x:c r="K18" s="488"/>
      <x:c r="L18" s="488"/>
      <x:c r="M18" s="488"/>
      <x:c r="N18" s="488"/>
      <x:c r="O18" s="488"/>
      <x:c r="P18" s="488"/>
      <x:c r="Q18" s="488"/>
      <x:c r="R18" s="488"/>
      <x:c r="S18" s="488"/>
      <x:c r="T18" s="488"/>
      <x:c r="U18" s="488"/>
      <x:c r="V18" s="488"/>
      <x:c r="W18" s="488"/>
      <x:c r="X18" s="488"/>
      <x:c r="Y18" s="488"/>
      <x:c r="Z18" s="488"/>
      <x:c r="AA18" s="488"/>
      <x:c r="AB18" s="488"/>
      <x:c r="AC18" s="488"/>
      <x:c r="AD18" s="488"/>
      <x:c r="AE18" s="488"/>
      <x:c r="AF18" s="488"/>
      <x:c r="AG18" s="488"/>
      <x:c r="AH18" s="488"/>
      <x:c r="AI18" s="488"/>
      <x:c r="AJ18" s="488"/>
      <x:c r="AK18" s="488"/>
      <x:c r="AL18" s="488"/>
      <x:c r="AM18" s="488"/>
      <x:c r="AN18" s="487"/>
      <x:c r="AO18" s="487"/>
    </x:row>
    <x:row r="19">
      <x:c r="A19" s="83" t="str">
        <x:v>WORKSTREAM 3</x:v>
      </x:c>
      <x:c r="B19" s="491" t="str">
        <x:v>CẢNH BÁO, DỰ BÁO &amp; BÁO CÁO</x:v>
      </x:c>
      <x:c r="C19" s="85"/>
      <x:c r="D19" s="70"/>
      <x:c r="E19" s="70"/>
      <x:c r="F19" s="70"/>
      <x:c r="G19" s="490"/>
      <x:c r="H19" s="488"/>
      <x:c r="I19" s="488"/>
      <x:c r="J19" s="488"/>
      <x:c r="K19" s="488"/>
      <x:c r="L19" s="488"/>
      <x:c r="M19" s="488"/>
      <x:c r="N19" s="488"/>
      <x:c r="O19" s="488"/>
      <x:c r="P19" s="488"/>
      <x:c r="Q19" s="488"/>
      <x:c r="R19" s="488"/>
      <x:c r="S19" s="488"/>
      <x:c r="T19" s="488"/>
      <x:c r="U19" s="488"/>
      <x:c r="V19" s="488"/>
      <x:c r="W19" s="488"/>
      <x:c r="X19" s="488"/>
      <x:c r="Y19" s="488"/>
      <x:c r="Z19" s="488"/>
      <x:c r="AA19" s="488"/>
      <x:c r="AB19" s="488"/>
      <x:c r="AC19" s="488"/>
      <x:c r="AD19" s="488"/>
      <x:c r="AE19" s="488"/>
      <x:c r="AF19" s="488"/>
      <x:c r="AG19" s="488"/>
      <x:c r="AH19" s="488"/>
      <x:c r="AI19" s="488"/>
      <x:c r="AJ19" s="488"/>
      <x:c r="AK19" s="488"/>
      <x:c r="AL19" s="488"/>
      <x:c r="AM19" s="488"/>
      <x:c r="AN19" s="487"/>
      <x:c r="AO19" s="487"/>
    </x:row>
    <x:row r="20">
      <x:c r="A20" s="83" t="str">
        <x:v>WS03.1</x:v>
      </x:c>
      <x:c r="B20" s="491" t="str">
        <x:v>Cảnh báo tồn thấp và hết hạn</x:v>
      </x:c>
      <x:c r="C20" s="85" t="n">
        <x:v>6</x:v>
      </x:c>
      <x:c r="D20" s="70" t="str">
        <x:v>Not start</x:v>
      </x:c>
      <x:c r="E20" s="70" t="str">
        <x:v>Backend</x:v>
      </x:c>
      <x:c r="F20" s="70"/>
      <x:c r="G20" s="490" t="n">
        <x:v>46273</x:v>
      </x:c>
      <x:c r="H20" s="488"/>
      <x:c r="I20" s="488"/>
      <x:c r="J20" s="488"/>
      <x:c r="K20" s="488"/>
      <x:c r="L20" s="488"/>
      <x:c r="M20" s="488"/>
      <x:c r="N20" s="488"/>
      <x:c r="O20" s="488"/>
      <x:c r="P20" s="488"/>
      <x:c r="Q20" s="488"/>
      <x:c r="R20" s="488"/>
      <x:c r="S20" s="488"/>
      <x:c r="T20" s="488"/>
      <x:c r="U20" s="488"/>
      <x:c r="V20" s="488"/>
      <x:c r="W20" s="488"/>
      <x:c r="X20" s="488"/>
      <x:c r="Y20" s="488"/>
      <x:c r="Z20" s="488"/>
      <x:c r="AA20" s="488"/>
      <x:c r="AB20" s="488"/>
      <x:c r="AC20" s="488"/>
      <x:c r="AD20" s="488"/>
      <x:c r="AE20" s="488"/>
      <x:c r="AF20" s="488"/>
      <x:c r="AG20" s="488"/>
      <x:c r="AH20" s="488"/>
      <x:c r="AI20" s="488"/>
      <x:c r="AJ20" s="488"/>
      <x:c r="AK20" s="488"/>
      <x:c r="AL20" s="488"/>
      <x:c r="AM20" s="488"/>
      <x:c r="AN20" s="487"/>
      <x:c r="AO20" s="487"/>
    </x:row>
    <x:row r="21" ht="15.75" customHeight="1">
      <x:c r="A21" s="83" t="str">
        <x:v>WS03.2</x:v>
      </x:c>
      <x:c r="B21" s="491" t="str">
        <x:v>Forecast, reorder suggestion và dashboard</x:v>
      </x:c>
      <x:c r="C21" s="85" t="n">
        <x:v>10</x:v>
      </x:c>
      <x:c r="D21" s="70" t="str">
        <x:v>Not start</x:v>
      </x:c>
      <x:c r="E21" s="70" t="str">
        <x:v>Full-stack</x:v>
      </x:c>
      <x:c r="F21" s="70"/>
      <x:c r="G21" s="490" t="n">
        <x:v>46281</x:v>
      </x:c>
      <x:c r="H21" s="488"/>
      <x:c r="I21" s="488"/>
      <x:c r="J21" s="488"/>
      <x:c r="K21" s="488"/>
      <x:c r="L21" s="488"/>
      <x:c r="M21" s="488"/>
      <x:c r="N21" s="488"/>
      <x:c r="O21" s="488"/>
      <x:c r="P21" s="488"/>
      <x:c r="Q21" s="488"/>
      <x:c r="R21" s="488"/>
      <x:c r="S21" s="488"/>
      <x:c r="T21" s="488"/>
      <x:c r="U21" s="488"/>
      <x:c r="V21" s="488"/>
      <x:c r="W21" s="488"/>
      <x:c r="X21" s="488"/>
      <x:c r="Y21" s="488"/>
      <x:c r="Z21" s="488"/>
      <x:c r="AA21" s="488"/>
      <x:c r="AB21" s="488"/>
      <x:c r="AC21" s="488"/>
      <x:c r="AD21" s="488"/>
      <x:c r="AE21" s="488"/>
      <x:c r="AF21" s="488"/>
      <x:c r="AG21" s="488"/>
      <x:c r="AH21" s="488"/>
      <x:c r="AI21" s="488"/>
      <x:c r="AJ21" s="488"/>
      <x:c r="AK21" s="488"/>
      <x:c r="AL21" s="488"/>
      <x:c r="AM21" s="488"/>
      <x:c r="AN21" s="487"/>
      <x:c r="AO21" s="487"/>
    </x:row>
    <x:row r="22" ht="15" customHeight="1">
      <x:c r="A22" s="81" t="str">
        <x:v>WS03.3</x:v>
      </x:c>
      <x:c r="B22" s="448" t="str">
        <x:v>Báo cáo, audit log và xuất CSV</x:v>
      </x:c>
      <x:c r="C22" s="44" t="n">
        <x:v>6</x:v>
      </x:c>
      <x:c r="D22" s="44" t="str">
        <x:v>Not start</x:v>
      </x:c>
      <x:c r="E22" s="44" t="str">
        <x:v>Full-stack</x:v>
      </x:c>
      <x:c r="F22" s="44"/>
      <x:c r="G22" s="489" t="n">
        <x:v>46283</x:v>
      </x:c>
      <x:c r="H22" s="486"/>
      <x:c r="I22" s="486"/>
      <x:c r="J22" s="486"/>
      <x:c r="K22" s="486"/>
      <x:c r="L22" s="486"/>
      <x:c r="M22" s="486"/>
      <x:c r="N22" s="486"/>
      <x:c r="O22" s="486"/>
      <x:c r="P22" s="486"/>
      <x:c r="Q22" s="486"/>
      <x:c r="R22" s="486"/>
      <x:c r="S22" s="486"/>
      <x:c r="T22" s="486"/>
      <x:c r="U22" s="486"/>
      <x:c r="V22" s="486"/>
      <x:c r="W22" s="486"/>
      <x:c r="X22" s="486"/>
      <x:c r="Y22" s="486"/>
      <x:c r="Z22" s="486"/>
      <x:c r="AA22" s="486"/>
      <x:c r="AB22" s="486"/>
      <x:c r="AC22" s="486"/>
      <x:c r="AD22" s="486"/>
      <x:c r="AE22" s="486"/>
      <x:c r="AF22" s="486"/>
      <x:c r="AG22" s="486"/>
      <x:c r="AH22" s="486"/>
      <x:c r="AI22" s="486"/>
      <x:c r="AJ22" s="486"/>
      <x:c r="AK22" s="486"/>
      <x:c r="AL22" s="486"/>
      <x:c r="AM22" s="486"/>
      <x:c r="AN22" s="487"/>
      <x:c r="AO22" s="487"/>
    </x:row>
    <x:row r="23" ht="31.5" customHeight="1">
      <x:c r="A23" s="83" t="str">
        <x:v>WORKSTREAM 4</x:v>
      </x:c>
      <x:c r="B23" s="491" t="str">
        <x:v>NHÂN SỰ, BILLING &amp; ADMIN</x:v>
      </x:c>
      <x:c r="C23" s="85"/>
      <x:c r="D23" s="70"/>
      <x:c r="E23" s="70"/>
      <x:c r="F23" s="70"/>
      <x:c r="G23" s="490"/>
      <x:c r="H23" s="488"/>
      <x:c r="I23" s="488"/>
      <x:c r="J23" s="488"/>
      <x:c r="K23" s="488"/>
      <x:c r="L23" s="488"/>
      <x:c r="M23" s="488"/>
      <x:c r="N23" s="488"/>
      <x:c r="O23" s="488"/>
      <x:c r="P23" s="488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7"/>
      <x:c r="AO23" s="487"/>
    </x:row>
    <x:row r="24" ht="15.75" customHeight="1">
      <x:c r="A24" s="83" t="str">
        <x:v>WS04.1</x:v>
      </x:c>
      <x:c r="B24" s="491" t="str">
        <x:v>Invitation và quản lý nhân sự</x:v>
      </x:c>
      <x:c r="C24" s="85" t="n">
        <x:v>9</x:v>
      </x:c>
      <x:c r="D24" s="70" t="str">
        <x:v>Not start</x:v>
      </x:c>
      <x:c r="E24" s="70" t="str">
        <x:v>Full-stack</x:v>
      </x:c>
      <x:c r="F24" s="70"/>
      <x:c r="G24" s="490" t="n">
        <x:v>46290</x:v>
      </x:c>
      <x:c r="H24" s="488"/>
      <x:c r="I24" s="488"/>
      <x:c r="J24" s="488"/>
      <x:c r="K24" s="488"/>
      <x:c r="L24" s="488"/>
      <x:c r="M24" s="488"/>
      <x:c r="N24" s="488"/>
      <x:c r="O24" s="488"/>
      <x:c r="P24" s="488"/>
      <x:c r="Q24" s="488"/>
      <x:c r="R24" s="488"/>
      <x:c r="S24" s="488"/>
      <x:c r="T24" s="488"/>
      <x:c r="U24" s="488"/>
      <x:c r="V24" s="488"/>
      <x:c r="W24" s="488"/>
      <x:c r="X24" s="488"/>
      <x:c r="Y24" s="488"/>
      <x:c r="Z24" s="488"/>
      <x:c r="AA24" s="488"/>
      <x:c r="AB24" s="488"/>
      <x:c r="AC24" s="488"/>
      <x:c r="AD24" s="488"/>
      <x:c r="AE24" s="488"/>
      <x:c r="AF24" s="488"/>
      <x:c r="AG24" s="488"/>
      <x:c r="AH24" s="488"/>
      <x:c r="AI24" s="488"/>
      <x:c r="AJ24" s="488"/>
      <x:c r="AK24" s="488"/>
      <x:c r="AL24" s="488"/>
      <x:c r="AM24" s="488"/>
      <x:c r="AN24" s="487"/>
      <x:c r="AO24" s="487"/>
    </x:row>
    <x:row r="25" ht="18" customHeight="1">
      <x:c r="A25" s="83" t="str">
        <x:v>WS04.2</x:v>
      </x:c>
      <x:c r="B25" s="491" t="str">
        <x:v>Subscription, billing và webhook</x:v>
      </x:c>
      <x:c r="C25" s="85" t="n">
        <x:v>8</x:v>
      </x:c>
      <x:c r="D25" s="70" t="str">
        <x:v>Not start</x:v>
      </x:c>
      <x:c r="E25" s="70" t="str">
        <x:v>Backend</x:v>
      </x:c>
      <x:c r="F25" s="70"/>
      <x:c r="G25" s="490" t="n">
        <x:v>46295</x:v>
      </x:c>
      <x:c r="H25" s="488"/>
      <x:c r="I25" s="488"/>
      <x:c r="J25" s="488"/>
      <x:c r="K25" s="488"/>
      <x:c r="L25" s="488"/>
      <x:c r="M25" s="488"/>
      <x:c r="N25" s="488"/>
      <x:c r="O25" s="488"/>
      <x:c r="P25" s="488"/>
      <x:c r="Q25" s="488"/>
      <x:c r="R25" s="488"/>
      <x:c r="S25" s="488"/>
      <x:c r="T25" s="488"/>
      <x:c r="U25" s="488"/>
      <x:c r="V25" s="488"/>
      <x:c r="W25" s="488"/>
      <x:c r="X25" s="488"/>
      <x:c r="Y25" s="488"/>
      <x:c r="Z25" s="488"/>
      <x:c r="AA25" s="488"/>
      <x:c r="AB25" s="488"/>
      <x:c r="AC25" s="488"/>
      <x:c r="AD25" s="488"/>
      <x:c r="AE25" s="488"/>
      <x:c r="AF25" s="488"/>
      <x:c r="AG25" s="488"/>
      <x:c r="AH25" s="488"/>
      <x:c r="AI25" s="488"/>
      <x:c r="AJ25" s="488"/>
      <x:c r="AK25" s="488"/>
      <x:c r="AL25" s="488"/>
      <x:c r="AM25" s="488"/>
      <x:c r="AN25" s="487"/>
      <x:c r="AO25" s="487"/>
    </x:row>
    <x:row r="26" ht="19.5" customHeight="1">
      <x:c r="A26" s="83" t="str">
        <x:v>WS04.3</x:v>
      </x:c>
      <x:c r="B26" s="491" t="str">
        <x:v>System Admin</x:v>
      </x:c>
      <x:c r="C26" s="85" t="n">
        <x:v>6</x:v>
      </x:c>
      <x:c r="D26" s="70" t="str">
        <x:v>Not start</x:v>
      </x:c>
      <x:c r="E26" s="70" t="str">
        <x:v>Full-stack</x:v>
      </x:c>
      <x:c r="F26" s="70"/>
      <x:c r="G26" s="490" t="n">
        <x:v>46297</x:v>
      </x:c>
      <x:c r="H26" s="488"/>
      <x:c r="I26" s="488"/>
      <x:c r="J26" s="488"/>
      <x:c r="K26" s="488"/>
      <x:c r="L26" s="488"/>
      <x:c r="M26" s="488"/>
      <x:c r="N26" s="488"/>
      <x:c r="O26" s="488"/>
      <x:c r="P26" s="488"/>
      <x:c r="Q26" s="488"/>
      <x:c r="R26" s="488"/>
      <x:c r="S26" s="488"/>
      <x:c r="T26" s="488"/>
      <x:c r="U26" s="488"/>
      <x:c r="V26" s="488"/>
      <x:c r="W26" s="488"/>
      <x:c r="X26" s="488"/>
      <x:c r="Y26" s="488"/>
      <x:c r="Z26" s="488"/>
      <x:c r="AA26" s="488"/>
      <x:c r="AB26" s="488"/>
      <x:c r="AC26" s="488"/>
      <x:c r="AD26" s="488"/>
      <x:c r="AE26" s="488"/>
      <x:c r="AF26" s="488"/>
      <x:c r="AG26" s="488"/>
      <x:c r="AH26" s="488"/>
      <x:c r="AI26" s="488"/>
      <x:c r="AJ26" s="488"/>
      <x:c r="AK26" s="488"/>
      <x:c r="AL26" s="488"/>
      <x:c r="AM26" s="488"/>
      <x:c r="AN26" s="487"/>
      <x:c r="AO26" s="487"/>
    </x:row>
    <x:row r="27" ht="20.25" customHeight="1">
      <x:c r="A27" s="83" t="str">
        <x:v>WORKSTREAM 5</x:v>
      </x:c>
      <x:c r="B27" s="492" t="str">
        <x:v>KIỂM THỬ, UAT &amp; GO-LIVE</x:v>
      </x:c>
      <x:c r="C27" s="91"/>
      <x:c r="D27" s="70"/>
      <x:c r="E27" s="70"/>
      <x:c r="F27" s="70"/>
      <x:c r="G27" s="490"/>
      <x:c r="H27" s="488"/>
      <x:c r="I27" s="488"/>
      <x:c r="J27" s="488"/>
      <x:c r="K27" s="488"/>
      <x:c r="L27" s="488"/>
      <x:c r="M27" s="488"/>
      <x:c r="N27" s="488"/>
      <x:c r="O27" s="488"/>
      <x:c r="P27" s="488"/>
      <x:c r="Q27" s="488"/>
      <x:c r="R27" s="488"/>
      <x:c r="S27" s="488"/>
      <x:c r="T27" s="488"/>
      <x:c r="U27" s="488"/>
      <x:c r="V27" s="488"/>
      <x:c r="W27" s="488"/>
      <x:c r="X27" s="488"/>
      <x:c r="Y27" s="488"/>
      <x:c r="Z27" s="488"/>
      <x:c r="AA27" s="488"/>
      <x:c r="AB27" s="488"/>
      <x:c r="AC27" s="488"/>
      <x:c r="AD27" s="488"/>
      <x:c r="AE27" s="488"/>
      <x:c r="AF27" s="488"/>
      <x:c r="AG27" s="488"/>
      <x:c r="AH27" s="488"/>
      <x:c r="AI27" s="488"/>
      <x:c r="AJ27" s="488"/>
      <x:c r="AK27" s="488"/>
      <x:c r="AL27" s="488"/>
      <x:c r="AM27" s="488"/>
      <x:c r="AN27" s="487"/>
      <x:c r="AO27" s="487"/>
    </x:row>
    <x:row r="28" ht="15.75" customHeight="1">
      <x:c r="A28" s="81" t="str">
        <x:v>WS05.1</x:v>
      </x:c>
      <x:c r="B28" s="448" t="str">
        <x:v>Integration/security test</x:v>
      </x:c>
      <x:c r="C28" s="44" t="n">
        <x:v>8</x:v>
      </x:c>
      <x:c r="D28" s="44" t="str">
        <x:v>Not start</x:v>
      </x:c>
      <x:c r="E28" s="44" t="str">
        <x:v>QA</x:v>
      </x:c>
      <x:c r="F28" s="44"/>
      <x:c r="G28" s="489" t="n">
        <x:v>46302</x:v>
      </x:c>
      <x:c r="H28" s="486"/>
      <x:c r="I28" s="486"/>
      <x:c r="J28" s="486"/>
      <x:c r="K28" s="486"/>
      <x:c r="L28" s="486"/>
      <x:c r="M28" s="486"/>
      <x:c r="N28" s="486"/>
      <x:c r="O28" s="486"/>
      <x:c r="P28" s="486"/>
      <x:c r="Q28" s="486"/>
      <x:c r="R28" s="486"/>
      <x:c r="S28" s="486"/>
      <x:c r="T28" s="486"/>
      <x:c r="U28" s="486"/>
      <x:c r="V28" s="486"/>
      <x:c r="W28" s="486"/>
      <x:c r="X28" s="486"/>
      <x:c r="Y28" s="486"/>
      <x:c r="Z28" s="486"/>
      <x:c r="AA28" s="486"/>
      <x:c r="AB28" s="486"/>
      <x:c r="AC28" s="486"/>
      <x:c r="AD28" s="486"/>
      <x:c r="AE28" s="486"/>
      <x:c r="AF28" s="486"/>
      <x:c r="AG28" s="486"/>
      <x:c r="AH28" s="486"/>
      <x:c r="AI28" s="486"/>
      <x:c r="AJ28" s="486"/>
      <x:c r="AK28" s="486"/>
      <x:c r="AL28" s="486"/>
      <x:c r="AM28" s="486"/>
      <x:c r="AN28" s="487"/>
      <x:c r="AO28" s="487"/>
    </x:row>
    <x:row r="29" ht="15.75" customHeight="1">
      <x:c r="A29" s="83" t="str">
        <x:v>WS05.2</x:v>
      </x:c>
      <x:c r="B29" s="491" t="str">
        <x:v>UAT và sửa lỗi</x:v>
      </x:c>
      <x:c r="C29" s="85" t="n">
        <x:v>6</x:v>
      </x:c>
      <x:c r="D29" s="70" t="str">
        <x:v>Not start</x:v>
      </x:c>
      <x:c r="E29" s="70" t="str">
        <x:v>QA/BA</x:v>
      </x:c>
      <x:c r="F29" s="70"/>
      <x:c r="G29" s="490" t="n">
        <x:v>46307</x:v>
      </x:c>
      <x:c r="H29" s="488"/>
      <x:c r="I29" s="488"/>
      <x:c r="J29" s="488"/>
      <x:c r="K29" s="488"/>
      <x:c r="L29" s="488"/>
      <x:c r="M29" s="488"/>
      <x:c r="N29" s="488"/>
      <x:c r="O29" s="488"/>
      <x:c r="P29" s="488"/>
      <x:c r="Q29" s="488"/>
      <x:c r="R29" s="488"/>
      <x:c r="S29" s="488"/>
      <x:c r="T29" s="488"/>
      <x:c r="U29" s="488"/>
      <x:c r="V29" s="488"/>
      <x:c r="W29" s="488"/>
      <x:c r="X29" s="488"/>
      <x:c r="Y29" s="488"/>
      <x:c r="Z29" s="488"/>
      <x:c r="AA29" s="488"/>
      <x:c r="AB29" s="488"/>
      <x:c r="AC29" s="488"/>
      <x:c r="AD29" s="488"/>
      <x:c r="AE29" s="488"/>
      <x:c r="AF29" s="488"/>
      <x:c r="AG29" s="488"/>
      <x:c r="AH29" s="488"/>
      <x:c r="AI29" s="488"/>
      <x:c r="AJ29" s="488"/>
      <x:c r="AK29" s="488"/>
      <x:c r="AL29" s="488"/>
      <x:c r="AM29" s="488"/>
      <x:c r="AN29" s="487"/>
      <x:c r="AO29" s="487"/>
    </x:row>
    <x:row r="30" ht="15.75" customHeight="1">
      <x:c r="A30" s="83" t="str">
        <x:v>WS05.3</x:v>
      </x:c>
      <x:c r="B30" s="491" t="str">
        <x:v>Triển khai, đào tạo và bàn giao</x:v>
      </x:c>
      <x:c r="C30" s="85" t="n">
        <x:v>4</x:v>
      </x:c>
      <x:c r="D30" s="70" t="str">
        <x:v>Not start</x:v>
      </x:c>
      <x:c r="E30" s="70" t="str">
        <x:v>PM/DevOps</x:v>
      </x:c>
      <x:c r="F30" s="70"/>
      <x:c r="G30" s="490" t="n">
        <x:v>46311</x:v>
      </x:c>
      <x:c r="H30" s="488"/>
      <x:c r="I30" s="488"/>
      <x:c r="J30" s="488"/>
      <x:c r="K30" s="488"/>
      <x:c r="L30" s="488"/>
      <x:c r="M30" s="488"/>
      <x:c r="N30" s="488"/>
      <x:c r="O30" s="488"/>
      <x:c r="P30" s="488"/>
      <x:c r="Q30" s="488"/>
      <x:c r="R30" s="488"/>
      <x:c r="S30" s="488"/>
      <x:c r="T30" s="488"/>
      <x:c r="U30" s="488"/>
      <x:c r="V30" s="488"/>
      <x:c r="W30" s="488"/>
      <x:c r="X30" s="488"/>
      <x:c r="Y30" s="488"/>
      <x:c r="Z30" s="488"/>
      <x:c r="AA30" s="488"/>
      <x:c r="AB30" s="488"/>
      <x:c r="AC30" s="488"/>
      <x:c r="AD30" s="488"/>
      <x:c r="AE30" s="488"/>
      <x:c r="AF30" s="488"/>
      <x:c r="AG30" s="488"/>
      <x:c r="AH30" s="488"/>
      <x:c r="AI30" s="488"/>
      <x:c r="AJ30" s="488"/>
      <x:c r="AK30" s="488"/>
      <x:c r="AL30" s="488"/>
      <x:c r="AM30" s="488"/>
      <x:c r="AN30" s="487"/>
      <x:c r="AO30" s="487"/>
    </x:row>
    <x:row r="31" ht="15.75" customHeight="1">
      <x:c r="A31" s="83"/>
      <x:c r="B31" s="84"/>
      <x:c r="C31" s="85"/>
      <x:c r="D31" s="70"/>
      <x:c r="E31" s="70"/>
      <x:c r="F31" s="70"/>
      <x:c r="G31" s="86"/>
      <x:c r="H31" s="488"/>
      <x:c r="I31" s="488"/>
      <x:c r="J31" s="488"/>
      <x:c r="K31" s="488"/>
      <x:c r="L31" s="488"/>
      <x:c r="M31" s="488"/>
      <x:c r="N31" s="488"/>
      <x:c r="O31" s="488"/>
      <x:c r="P31" s="488"/>
      <x:c r="Q31" s="488"/>
      <x:c r="R31" s="488"/>
      <x:c r="S31" s="488"/>
      <x:c r="T31" s="488"/>
      <x:c r="U31" s="488"/>
      <x:c r="V31" s="488"/>
      <x:c r="W31" s="488"/>
      <x:c r="X31" s="488"/>
      <x:c r="Y31" s="488"/>
      <x:c r="Z31" s="488"/>
      <x:c r="AA31" s="488"/>
      <x:c r="AB31" s="488"/>
      <x:c r="AC31" s="488"/>
      <x:c r="AD31" s="488"/>
      <x:c r="AE31" s="488"/>
      <x:c r="AF31" s="488"/>
      <x:c r="AG31" s="488"/>
      <x:c r="AH31" s="488"/>
      <x:c r="AI31" s="488"/>
      <x:c r="AJ31" s="488"/>
      <x:c r="AK31" s="488"/>
      <x:c r="AL31" s="488"/>
      <x:c r="AM31" s="488"/>
      <x:c r="AN31" s="487"/>
      <x:c r="AO31" s="487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  <x:c r="AK533"/>
      <x:c r="AL533"/>
      <x:c r="AM533"/>
      <x:c r="AN533"/>
      <x:c r="AO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  <x:c r="AK534"/>
      <x:c r="AL534"/>
      <x:c r="AM534"/>
      <x:c r="AN534"/>
      <x:c r="AO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  <x:c r="AL535"/>
      <x:c r="AM535"/>
      <x:c r="AN535"/>
      <x:c r="AO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  <x:c r="AK536"/>
      <x:c r="AL536"/>
      <x:c r="AM536"/>
      <x:c r="AN536"/>
      <x:c r="AO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/>
      <x:c r="AN537"/>
      <x:c r="AO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  <x:c r="AI538"/>
      <x:c r="AJ538"/>
      <x:c r="AK538"/>
      <x:c r="AL538"/>
      <x:c r="AM538"/>
      <x:c r="AN538"/>
      <x:c r="AO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  <x:c r="AL539"/>
      <x:c r="AM539"/>
      <x:c r="AN539"/>
      <x:c r="AO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  <x:c r="AK540"/>
      <x:c r="AL540"/>
      <x:c r="AM540"/>
      <x:c r="AN540"/>
      <x:c r="AO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  <x:c r="AL541"/>
      <x:c r="AM541"/>
      <x:c r="AN541"/>
      <x:c r="AO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  <x:c r="AL542"/>
      <x:c r="AM542"/>
      <x:c r="AN542"/>
      <x:c r="AO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  <x:c r="AL543"/>
      <x:c r="AM543"/>
      <x:c r="AN543"/>
      <x:c r="AO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  <x:c r="AK544"/>
      <x:c r="AL544"/>
      <x:c r="AM544"/>
      <x:c r="AN544"/>
      <x:c r="AO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  <x:c r="AK545"/>
      <x:c r="AL545"/>
      <x:c r="AM545"/>
      <x:c r="AN545"/>
      <x:c r="AO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  <x:c r="AI546"/>
      <x:c r="AJ546"/>
      <x:c r="AK546"/>
      <x:c r="AL546"/>
      <x:c r="AM546"/>
      <x:c r="AN546"/>
      <x:c r="AO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  <x:c r="AK547"/>
      <x:c r="AL547"/>
      <x:c r="AM547"/>
      <x:c r="AN547"/>
      <x:c r="AO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  <x:c r="AK548"/>
      <x:c r="AL548"/>
      <x:c r="AM548"/>
      <x:c r="AN548"/>
      <x:c r="AO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  <x:c r="AK549"/>
      <x:c r="AL549"/>
      <x:c r="AM549"/>
      <x:c r="AN549"/>
      <x:c r="AO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  <x:c r="AK550"/>
      <x:c r="AL550"/>
      <x:c r="AM550"/>
      <x:c r="AN550"/>
      <x:c r="AO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  <x:c r="AK551"/>
      <x:c r="AL551"/>
      <x:c r="AM551"/>
      <x:c r="AN551"/>
      <x:c r="AO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  <x:c r="AK552"/>
      <x:c r="AL552"/>
      <x:c r="AM552"/>
      <x:c r="AN552"/>
      <x:c r="AO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  <x:c r="AK553"/>
      <x:c r="AL553"/>
      <x:c r="AM553"/>
      <x:c r="AN553"/>
      <x:c r="AO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  <x:c r="AK554"/>
      <x:c r="AL554"/>
      <x:c r="AM554"/>
      <x:c r="AN554"/>
      <x:c r="AO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  <x:c r="AK555"/>
      <x:c r="AL555"/>
      <x:c r="AM555"/>
      <x:c r="AN555"/>
      <x:c r="AO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  <x:c r="AK556"/>
      <x:c r="AL556"/>
      <x:c r="AM556"/>
      <x:c r="AN556"/>
      <x:c r="AO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  <x:c r="AK557"/>
      <x:c r="AL557"/>
      <x:c r="AM557"/>
      <x:c r="AN557"/>
      <x:c r="AO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  <x:c r="AK558"/>
      <x:c r="AL558"/>
      <x:c r="AM558"/>
      <x:c r="AN558"/>
      <x:c r="AO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  <x:c r="AL559"/>
      <x:c r="AM559"/>
      <x:c r="AN559"/>
      <x:c r="AO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  <x:c r="AL560"/>
      <x:c r="AM560"/>
      <x:c r="AN560"/>
      <x:c r="AO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  <x:c r="AL561"/>
      <x:c r="AM561"/>
      <x:c r="AN561"/>
      <x:c r="AO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  <x:c r="AK562"/>
      <x:c r="AL562"/>
      <x:c r="AM562"/>
      <x:c r="AN562"/>
      <x:c r="AO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  <x:c r="AK563"/>
      <x:c r="AL563"/>
      <x:c r="AM563"/>
      <x:c r="AN563"/>
      <x:c r="AO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  <x:c r="AI564"/>
      <x:c r="AJ564"/>
      <x:c r="AK564"/>
      <x:c r="AL564"/>
      <x:c r="AM564"/>
      <x:c r="AN564"/>
      <x:c r="AO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  <x:c r="AK565"/>
      <x:c r="AL565"/>
      <x:c r="AM565"/>
      <x:c r="AN565"/>
      <x:c r="AO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  <x:c r="AK566"/>
      <x:c r="AL566"/>
      <x:c r="AM566"/>
      <x:c r="AN566"/>
      <x:c r="AO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  <x:c r="AK567"/>
      <x:c r="AL567"/>
      <x:c r="AM567"/>
      <x:c r="AN567"/>
      <x:c r="AO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  <x:c r="AI568"/>
      <x:c r="AJ568"/>
      <x:c r="AK568"/>
      <x:c r="AL568"/>
      <x:c r="AM568"/>
      <x:c r="AN568"/>
      <x:c r="AO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  <x:c r="AI569"/>
      <x:c r="AJ569"/>
      <x:c r="AK569"/>
      <x:c r="AL569"/>
      <x:c r="AM569"/>
      <x:c r="AN569"/>
      <x:c r="AO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  <x:c r="AK570"/>
      <x:c r="AL570"/>
      <x:c r="AM570"/>
      <x:c r="AN570"/>
      <x:c r="AO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  <x:c r="AI571"/>
      <x:c r="AJ571"/>
      <x:c r="AK571"/>
      <x:c r="AL571"/>
      <x:c r="AM571"/>
      <x:c r="AN571"/>
      <x:c r="AO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  <x:c r="AI572"/>
      <x:c r="AJ572"/>
      <x:c r="AK572"/>
      <x:c r="AL572"/>
      <x:c r="AM572"/>
      <x:c r="AN572"/>
      <x:c r="AO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  <x:c r="AI573"/>
      <x:c r="AJ573"/>
      <x:c r="AK573"/>
      <x:c r="AL573"/>
      <x:c r="AM573"/>
      <x:c r="AN573"/>
      <x:c r="AO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  <x:c r="AK574"/>
      <x:c r="AL574"/>
      <x:c r="AM574"/>
      <x:c r="AN574"/>
      <x:c r="AO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/>
      <x:c r="AN575"/>
      <x:c r="AO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  <x:c r="AK576"/>
      <x:c r="AL576"/>
      <x:c r="AM576"/>
      <x:c r="AN576"/>
      <x:c r="AO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  <x:c r="AK577"/>
      <x:c r="AL577"/>
      <x:c r="AM577"/>
      <x:c r="AN577"/>
      <x:c r="AO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  <x:c r="AK578"/>
      <x:c r="AL578"/>
      <x:c r="AM578"/>
      <x:c r="AN578"/>
      <x:c r="AO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  <x:c r="AK579"/>
      <x:c r="AL579"/>
      <x:c r="AM579"/>
      <x:c r="AN579"/>
      <x:c r="AO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  <x:c r="AK580"/>
      <x:c r="AL580"/>
      <x:c r="AM580"/>
      <x:c r="AN580"/>
      <x:c r="AO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  <x:c r="AK581"/>
      <x:c r="AL581"/>
      <x:c r="AM581"/>
      <x:c r="AN581"/>
      <x:c r="AO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  <x:c r="AK582"/>
      <x:c r="AL582"/>
      <x:c r="AM582"/>
      <x:c r="AN582"/>
      <x:c r="AO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  <x:c r="AI583"/>
      <x:c r="AJ583"/>
      <x:c r="AK583"/>
      <x:c r="AL583"/>
      <x:c r="AM583"/>
      <x:c r="AN583"/>
      <x:c r="AO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  <x:c r="AK584"/>
      <x:c r="AL584"/>
      <x:c r="AM584"/>
      <x:c r="AN584"/>
      <x:c r="AO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/>
      <x:c r="AO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/>
      <x:c r="AO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  <x:c r="AI587"/>
      <x:c r="AJ587"/>
      <x:c r="AK587"/>
      <x:c r="AL587"/>
      <x:c r="AM587"/>
      <x:c r="AN587"/>
      <x:c r="AO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  <x:c r="AK588"/>
      <x:c r="AL588"/>
      <x:c r="AM588"/>
      <x:c r="AN588"/>
      <x:c r="AO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/>
      <x:c r="AO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  <x:c r="AK590"/>
      <x:c r="AL590"/>
      <x:c r="AM590"/>
      <x:c r="AN590"/>
      <x:c r="AO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  <x:c r="AI591"/>
      <x:c r="AJ591"/>
      <x:c r="AK591"/>
      <x:c r="AL591"/>
      <x:c r="AM591"/>
      <x:c r="AN591"/>
      <x:c r="AO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  <x:c r="AK592"/>
      <x:c r="AL592"/>
      <x:c r="AM592"/>
      <x:c r="AN592"/>
      <x:c r="AO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  <x:c r="AI593"/>
      <x:c r="AJ593"/>
      <x:c r="AK593"/>
      <x:c r="AL593"/>
      <x:c r="AM593"/>
      <x:c r="AN593"/>
      <x:c r="AO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  <x:c r="AK594"/>
      <x:c r="AL594"/>
      <x:c r="AM594"/>
      <x:c r="AN594"/>
      <x:c r="AO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  <x:c r="AI595"/>
      <x:c r="AJ595"/>
      <x:c r="AK595"/>
      <x:c r="AL595"/>
      <x:c r="AM595"/>
      <x:c r="AN595"/>
      <x:c r="AO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  <x:c r="AK596"/>
      <x:c r="AL596"/>
      <x:c r="AM596"/>
      <x:c r="AN596"/>
      <x:c r="AO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  <x:c r="AK597"/>
      <x:c r="AL597"/>
      <x:c r="AM597"/>
      <x:c r="AN597"/>
      <x:c r="AO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  <x:c r="AI598"/>
      <x:c r="AJ598"/>
      <x:c r="AK598"/>
      <x:c r="AL598"/>
      <x:c r="AM598"/>
      <x:c r="AN598"/>
      <x:c r="AO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  <x:c r="AI599"/>
      <x:c r="AJ599"/>
      <x:c r="AK599"/>
      <x:c r="AL599"/>
      <x:c r="AM599"/>
      <x:c r="AN599"/>
      <x:c r="AO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  <x:c r="AI600"/>
      <x:c r="AJ600"/>
      <x:c r="AK600"/>
      <x:c r="AL600"/>
      <x:c r="AM600"/>
      <x:c r="AN600"/>
      <x:c r="AO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  <x:c r="AI601"/>
      <x:c r="AJ601"/>
      <x:c r="AK601"/>
      <x:c r="AL601"/>
      <x:c r="AM601"/>
      <x:c r="AN601"/>
      <x:c r="AO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  <x:c r="AK602"/>
      <x:c r="AL602"/>
      <x:c r="AM602"/>
      <x:c r="AN602"/>
      <x:c r="AO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  <x:c r="AI603"/>
      <x:c r="AJ603"/>
      <x:c r="AK603"/>
      <x:c r="AL603"/>
      <x:c r="AM603"/>
      <x:c r="AN603"/>
      <x:c r="AO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  <x:c r="AI604"/>
      <x:c r="AJ604"/>
      <x:c r="AK604"/>
      <x:c r="AL604"/>
      <x:c r="AM604"/>
      <x:c r="AN604"/>
      <x:c r="AO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  <x:c r="AI605"/>
      <x:c r="AJ605"/>
      <x:c r="AK605"/>
      <x:c r="AL605"/>
      <x:c r="AM605"/>
      <x:c r="AN605"/>
      <x:c r="AO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  <x:c r="AI606"/>
      <x:c r="AJ606"/>
      <x:c r="AK606"/>
      <x:c r="AL606"/>
      <x:c r="AM606"/>
      <x:c r="AN606"/>
      <x:c r="AO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  <x:c r="AI607"/>
      <x:c r="AJ607"/>
      <x:c r="AK607"/>
      <x:c r="AL607"/>
      <x:c r="AM607"/>
      <x:c r="AN607"/>
      <x:c r="AO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  <x:c r="AI608"/>
      <x:c r="AJ608"/>
      <x:c r="AK608"/>
      <x:c r="AL608"/>
      <x:c r="AM608"/>
      <x:c r="AN608"/>
      <x:c r="AO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  <x:c r="AI609"/>
      <x:c r="AJ609"/>
      <x:c r="AK609"/>
      <x:c r="AL609"/>
      <x:c r="AM609"/>
      <x:c r="AN609"/>
      <x:c r="AO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  <x:c r="AI610"/>
      <x:c r="AJ610"/>
      <x:c r="AK610"/>
      <x:c r="AL610"/>
      <x:c r="AM610"/>
      <x:c r="AN610"/>
      <x:c r="AO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  <x:c r="AI611"/>
      <x:c r="AJ611"/>
      <x:c r="AK611"/>
      <x:c r="AL611"/>
      <x:c r="AM611"/>
      <x:c r="AN611"/>
      <x:c r="AO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  <x:c r="AI612"/>
      <x:c r="AJ612"/>
      <x:c r="AK612"/>
      <x:c r="AL612"/>
      <x:c r="AM612"/>
      <x:c r="AN612"/>
      <x:c r="AO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  <x:c r="AI613"/>
      <x:c r="AJ613"/>
      <x:c r="AK613"/>
      <x:c r="AL613"/>
      <x:c r="AM613"/>
      <x:c r="AN613"/>
      <x:c r="AO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  <x:c r="AI614"/>
      <x:c r="AJ614"/>
      <x:c r="AK614"/>
      <x:c r="AL614"/>
      <x:c r="AM614"/>
      <x:c r="AN614"/>
      <x:c r="AO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  <x:c r="AI615"/>
      <x:c r="AJ615"/>
      <x:c r="AK615"/>
      <x:c r="AL615"/>
      <x:c r="AM615"/>
      <x:c r="AN615"/>
      <x:c r="AO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  <x:c r="AI616"/>
      <x:c r="AJ616"/>
      <x:c r="AK616"/>
      <x:c r="AL616"/>
      <x:c r="AM616"/>
      <x:c r="AN616"/>
      <x:c r="AO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  <x:c r="AI617"/>
      <x:c r="AJ617"/>
      <x:c r="AK617"/>
      <x:c r="AL617"/>
      <x:c r="AM617"/>
      <x:c r="AN617"/>
      <x:c r="AO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  <x:c r="AI618"/>
      <x:c r="AJ618"/>
      <x:c r="AK618"/>
      <x:c r="AL618"/>
      <x:c r="AM618"/>
      <x:c r="AN618"/>
      <x:c r="AO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  <x:c r="AI619"/>
      <x:c r="AJ619"/>
      <x:c r="AK619"/>
      <x:c r="AL619"/>
      <x:c r="AM619"/>
      <x:c r="AN619"/>
      <x:c r="AO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  <x:c r="AI620"/>
      <x:c r="AJ620"/>
      <x:c r="AK620"/>
      <x:c r="AL620"/>
      <x:c r="AM620"/>
      <x:c r="AN620"/>
      <x:c r="AO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  <x:c r="AI621"/>
      <x:c r="AJ621"/>
      <x:c r="AK621"/>
      <x:c r="AL621"/>
      <x:c r="AM621"/>
      <x:c r="AN621"/>
      <x:c r="AO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  <x:c r="AI622"/>
      <x:c r="AJ622"/>
      <x:c r="AK622"/>
      <x:c r="AL622"/>
      <x:c r="AM622"/>
      <x:c r="AN622"/>
      <x:c r="AO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  <x:c r="AI623"/>
      <x:c r="AJ623"/>
      <x:c r="AK623"/>
      <x:c r="AL623"/>
      <x:c r="AM623"/>
      <x:c r="AN623"/>
      <x:c r="AO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  <x:c r="AI624"/>
      <x:c r="AJ624"/>
      <x:c r="AK624"/>
      <x:c r="AL624"/>
      <x:c r="AM624"/>
      <x:c r="AN624"/>
      <x:c r="AO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  <x:c r="AI625"/>
      <x:c r="AJ625"/>
      <x:c r="AK625"/>
      <x:c r="AL625"/>
      <x:c r="AM625"/>
      <x:c r="AN625"/>
      <x:c r="AO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  <x:c r="AI626"/>
      <x:c r="AJ626"/>
      <x:c r="AK626"/>
      <x:c r="AL626"/>
      <x:c r="AM626"/>
      <x:c r="AN626"/>
      <x:c r="AO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  <x:c r="AI627"/>
      <x:c r="AJ627"/>
      <x:c r="AK627"/>
      <x:c r="AL627"/>
      <x:c r="AM627"/>
      <x:c r="AN627"/>
      <x:c r="AO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  <x:c r="AI628"/>
      <x:c r="AJ628"/>
      <x:c r="AK628"/>
      <x:c r="AL628"/>
      <x:c r="AM628"/>
      <x:c r="AN628"/>
      <x:c r="AO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  <x:c r="AI629"/>
      <x:c r="AJ629"/>
      <x:c r="AK629"/>
      <x:c r="AL629"/>
      <x:c r="AM629"/>
      <x:c r="AN629"/>
      <x:c r="AO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  <x:c r="AI630"/>
      <x:c r="AJ630"/>
      <x:c r="AK630"/>
      <x:c r="AL630"/>
      <x:c r="AM630"/>
      <x:c r="AN630"/>
      <x:c r="AO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  <x:c r="AI631"/>
      <x:c r="AJ631"/>
      <x:c r="AK631"/>
      <x:c r="AL631"/>
      <x:c r="AM631"/>
      <x:c r="AN631"/>
      <x:c r="AO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  <x:c r="AI632"/>
      <x:c r="AJ632"/>
      <x:c r="AK632"/>
      <x:c r="AL632"/>
      <x:c r="AM632"/>
      <x:c r="AN632"/>
      <x:c r="AO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  <x:c r="AI633"/>
      <x:c r="AJ633"/>
      <x:c r="AK633"/>
      <x:c r="AL633"/>
      <x:c r="AM633"/>
      <x:c r="AN633"/>
      <x:c r="AO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  <x:c r="AI634"/>
      <x:c r="AJ634"/>
      <x:c r="AK634"/>
      <x:c r="AL634"/>
      <x:c r="AM634"/>
      <x:c r="AN634"/>
      <x:c r="AO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  <x:c r="AI635"/>
      <x:c r="AJ635"/>
      <x:c r="AK635"/>
      <x:c r="AL635"/>
      <x:c r="AM635"/>
      <x:c r="AN635"/>
      <x:c r="AO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  <x:c r="AI636"/>
      <x:c r="AJ636"/>
      <x:c r="AK636"/>
      <x:c r="AL636"/>
      <x:c r="AM636"/>
      <x:c r="AN636"/>
      <x:c r="AO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  <x:c r="AI637"/>
      <x:c r="AJ637"/>
      <x:c r="AK637"/>
      <x:c r="AL637"/>
      <x:c r="AM637"/>
      <x:c r="AN637"/>
      <x:c r="AO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  <x:c r="AI638"/>
      <x:c r="AJ638"/>
      <x:c r="AK638"/>
      <x:c r="AL638"/>
      <x:c r="AM638"/>
      <x:c r="AN638"/>
      <x:c r="AO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  <x:c r="AK639"/>
      <x:c r="AL639"/>
      <x:c r="AM639"/>
      <x:c r="AN639"/>
      <x:c r="AO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  <x:c r="AI640"/>
      <x:c r="AJ640"/>
      <x:c r="AK640"/>
      <x:c r="AL640"/>
      <x:c r="AM640"/>
      <x:c r="AN640"/>
      <x:c r="AO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  <x:c r="AI641"/>
      <x:c r="AJ641"/>
      <x:c r="AK641"/>
      <x:c r="AL641"/>
      <x:c r="AM641"/>
      <x:c r="AN641"/>
      <x:c r="AO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  <x:c r="AI642"/>
      <x:c r="AJ642"/>
      <x:c r="AK642"/>
      <x:c r="AL642"/>
      <x:c r="AM642"/>
      <x:c r="AN642"/>
      <x:c r="AO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  <x:c r="AI643"/>
      <x:c r="AJ643"/>
      <x:c r="AK643"/>
      <x:c r="AL643"/>
      <x:c r="AM643"/>
      <x:c r="AN643"/>
      <x:c r="AO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  <x:c r="AK644"/>
      <x:c r="AL644"/>
      <x:c r="AM644"/>
      <x:c r="AN644"/>
      <x:c r="AO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  <x:c r="AI645"/>
      <x:c r="AJ645"/>
      <x:c r="AK645"/>
      <x:c r="AL645"/>
      <x:c r="AM645"/>
      <x:c r="AN645"/>
      <x:c r="AO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/>
      <x:c r="AO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  <x:c r="AI647"/>
      <x:c r="AJ647"/>
      <x:c r="AK647"/>
      <x:c r="AL647"/>
      <x:c r="AM647"/>
      <x:c r="AN647"/>
      <x:c r="AO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  <x:c r="AI648"/>
      <x:c r="AJ648"/>
      <x:c r="AK648"/>
      <x:c r="AL648"/>
      <x:c r="AM648"/>
      <x:c r="AN648"/>
      <x:c r="AO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  <x:c r="AK649"/>
      <x:c r="AL649"/>
      <x:c r="AM649"/>
      <x:c r="AN649"/>
      <x:c r="AO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  <x:c r="AK650"/>
      <x:c r="AL650"/>
      <x:c r="AM650"/>
      <x:c r="AN650"/>
      <x:c r="AO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  <x:c r="AI651"/>
      <x:c r="AJ651"/>
      <x:c r="AK651"/>
      <x:c r="AL651"/>
      <x:c r="AM651"/>
      <x:c r="AN651"/>
      <x:c r="AO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  <x:c r="AK652"/>
      <x:c r="AL652"/>
      <x:c r="AM652"/>
      <x:c r="AN652"/>
      <x:c r="AO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  <x:c r="AK653"/>
      <x:c r="AL653"/>
      <x:c r="AM653"/>
      <x:c r="AN653"/>
      <x:c r="AO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  <x:c r="AK654"/>
      <x:c r="AL654"/>
      <x:c r="AM654"/>
      <x:c r="AN654"/>
      <x:c r="AO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  <x:c r="AK655"/>
      <x:c r="AL655"/>
      <x:c r="AM655"/>
      <x:c r="AN655"/>
      <x:c r="AO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  <x:c r="AK656"/>
      <x:c r="AL656"/>
      <x:c r="AM656"/>
      <x:c r="AN656"/>
      <x:c r="AO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  <x:c r="AK657"/>
      <x:c r="AL657"/>
      <x:c r="AM657"/>
      <x:c r="AN657"/>
      <x:c r="AO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  <x:c r="AK658"/>
      <x:c r="AL658"/>
      <x:c r="AM658"/>
      <x:c r="AN658"/>
      <x:c r="AO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  <x:c r="AK659"/>
      <x:c r="AL659"/>
      <x:c r="AM659"/>
      <x:c r="AN659"/>
      <x:c r="AO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  <x:c r="AK660"/>
      <x:c r="AL660"/>
      <x:c r="AM660"/>
      <x:c r="AN660"/>
      <x:c r="AO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  <x:c r="AK661"/>
      <x:c r="AL661"/>
      <x:c r="AM661"/>
      <x:c r="AN661"/>
      <x:c r="AO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  <x:c r="AK662"/>
      <x:c r="AL662"/>
      <x:c r="AM662"/>
      <x:c r="AN662"/>
      <x:c r="AO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  <x:c r="AK664"/>
      <x:c r="AL664"/>
      <x:c r="AM664"/>
      <x:c r="AN664"/>
      <x:c r="AO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  <x:c r="AK665"/>
      <x:c r="AL665"/>
      <x:c r="AM665"/>
      <x:c r="AN665"/>
      <x:c r="AO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  <x:c r="AK666"/>
      <x:c r="AL666"/>
      <x:c r="AM666"/>
      <x:c r="AN666"/>
      <x:c r="AO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  <x:c r="AK668"/>
      <x:c r="AL668"/>
      <x:c r="AM668"/>
      <x:c r="AN668"/>
      <x:c r="AO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  <x:c r="AK669"/>
      <x:c r="AL669"/>
      <x:c r="AM669"/>
      <x:c r="AN669"/>
      <x:c r="AO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  <x:c r="AK670"/>
      <x:c r="AL670"/>
      <x:c r="AM670"/>
      <x:c r="AN670"/>
      <x:c r="AO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  <x:c r="AK671"/>
      <x:c r="AL671"/>
      <x:c r="AM671"/>
      <x:c r="AN671"/>
      <x:c r="AO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  <x:c r="AK672"/>
      <x:c r="AL672"/>
      <x:c r="AM672"/>
      <x:c r="AN672"/>
      <x:c r="AO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  <x:c r="AK673"/>
      <x:c r="AL673"/>
      <x:c r="AM673"/>
      <x:c r="AN673"/>
      <x:c r="AO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  <x:c r="AK674"/>
      <x:c r="AL674"/>
      <x:c r="AM674"/>
      <x:c r="AN674"/>
      <x:c r="AO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  <x:c r="AK675"/>
      <x:c r="AL675"/>
      <x:c r="AM675"/>
      <x:c r="AN675"/>
      <x:c r="AO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  <x:c r="AK677"/>
      <x:c r="AL677"/>
      <x:c r="AM677"/>
      <x:c r="AN677"/>
      <x:c r="AO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  <x:c r="AK678"/>
      <x:c r="AL678"/>
      <x:c r="AM678"/>
      <x:c r="AN678"/>
      <x:c r="AO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  <x:c r="AK679"/>
      <x:c r="AL679"/>
      <x:c r="AM679"/>
      <x:c r="AN679"/>
      <x:c r="AO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  <x:c r="AK680"/>
      <x:c r="AL680"/>
      <x:c r="AM680"/>
      <x:c r="AN680"/>
      <x:c r="AO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  <x:c r="AK681"/>
      <x:c r="AL681"/>
      <x:c r="AM681"/>
      <x:c r="AN681"/>
      <x:c r="AO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  <x:c r="AK682"/>
      <x:c r="AL682"/>
      <x:c r="AM682"/>
      <x:c r="AN682"/>
      <x:c r="AO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  <x:c r="AK683"/>
      <x:c r="AL683"/>
      <x:c r="AM683"/>
      <x:c r="AN683"/>
      <x:c r="AO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  <x:c r="AK685"/>
      <x:c r="AL685"/>
      <x:c r="AM685"/>
      <x:c r="AN685"/>
      <x:c r="AO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  <x:c r="AK686"/>
      <x:c r="AL686"/>
      <x:c r="AM686"/>
      <x:c r="AN686"/>
      <x:c r="AO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  <x:c r="AK687"/>
      <x:c r="AL687"/>
      <x:c r="AM687"/>
      <x:c r="AN687"/>
      <x:c r="AO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  <x:c r="AK688"/>
      <x:c r="AL688"/>
      <x:c r="AM688"/>
      <x:c r="AN688"/>
      <x:c r="AO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  <x:c r="AK689"/>
      <x:c r="AL689"/>
      <x:c r="AM689"/>
      <x:c r="AN689"/>
      <x:c r="AO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  <x:c r="AK690"/>
      <x:c r="AL690"/>
      <x:c r="AM690"/>
      <x:c r="AN690"/>
      <x:c r="AO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  <x:c r="AK691"/>
      <x:c r="AL691"/>
      <x:c r="AM691"/>
      <x:c r="AN691"/>
      <x:c r="AO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  <x:c r="AK692"/>
      <x:c r="AL692"/>
      <x:c r="AM692"/>
      <x:c r="AN692"/>
      <x:c r="AO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  <x:c r="AK693"/>
      <x:c r="AL693"/>
      <x:c r="AM693"/>
      <x:c r="AN693"/>
      <x:c r="AO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  <x:c r="AK694"/>
      <x:c r="AL694"/>
      <x:c r="AM694"/>
      <x:c r="AN694"/>
      <x:c r="AO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/>
      <x:c r="AN695"/>
      <x:c r="AO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  <x:c r="AK696"/>
      <x:c r="AL696"/>
      <x:c r="AM696"/>
      <x:c r="AN696"/>
      <x:c r="AO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  <x:c r="AK698"/>
      <x:c r="AL698"/>
      <x:c r="AM698"/>
      <x:c r="AN698"/>
      <x:c r="AO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  <x:c r="AK699"/>
      <x:c r="AL699"/>
      <x:c r="AM699"/>
      <x:c r="AN699"/>
      <x:c r="AO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  <x:c r="AK700"/>
      <x:c r="AL700"/>
      <x:c r="AM700"/>
      <x:c r="AN700"/>
      <x:c r="AO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  <x:c r="AK701"/>
      <x:c r="AL701"/>
      <x:c r="AM701"/>
      <x:c r="AN701"/>
      <x:c r="AO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  <x:c r="AK702"/>
      <x:c r="AL702"/>
      <x:c r="AM702"/>
      <x:c r="AN702"/>
      <x:c r="AO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  <x:c r="AK703"/>
      <x:c r="AL703"/>
      <x:c r="AM703"/>
      <x:c r="AN703"/>
      <x:c r="AO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  <x:c r="AK704"/>
      <x:c r="AL704"/>
      <x:c r="AM704"/>
      <x:c r="AN704"/>
      <x:c r="AO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  <x:c r="AK705"/>
      <x:c r="AL705"/>
      <x:c r="AM705"/>
      <x:c r="AN705"/>
      <x:c r="AO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  <x:c r="AK706"/>
      <x:c r="AL706"/>
      <x:c r="AM706"/>
      <x:c r="AN706"/>
      <x:c r="AO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  <x:c r="AK707"/>
      <x:c r="AL707"/>
      <x:c r="AM707"/>
      <x:c r="AN707"/>
      <x:c r="AO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  <x:c r="AK708"/>
      <x:c r="AL708"/>
      <x:c r="AM708"/>
      <x:c r="AN708"/>
      <x:c r="AO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/>
      <x:c r="AL709"/>
      <x:c r="AM709"/>
      <x:c r="AN709"/>
      <x:c r="AO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  <x:c r="AK710"/>
      <x:c r="AL710"/>
      <x:c r="AM710"/>
      <x:c r="AN710"/>
      <x:c r="AO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  <x:c r="AK711"/>
      <x:c r="AL711"/>
      <x:c r="AM711"/>
      <x:c r="AN711"/>
      <x:c r="AO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  <x:c r="AK712"/>
      <x:c r="AL712"/>
      <x:c r="AM712"/>
      <x:c r="AN712"/>
      <x:c r="AO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  <x:c r="AK713"/>
      <x:c r="AL713"/>
      <x:c r="AM713"/>
      <x:c r="AN713"/>
      <x:c r="AO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  <x:c r="AK714"/>
      <x:c r="AL714"/>
      <x:c r="AM714"/>
      <x:c r="AN714"/>
      <x:c r="AO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  <x:c r="AK716"/>
      <x:c r="AL716"/>
      <x:c r="AM716"/>
      <x:c r="AN716"/>
      <x:c r="AO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  <x:c r="AK717"/>
      <x:c r="AL717"/>
      <x:c r="AM717"/>
      <x:c r="AN717"/>
      <x:c r="AO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  <x:c r="AK718"/>
      <x:c r="AL718"/>
      <x:c r="AM718"/>
      <x:c r="AN718"/>
      <x:c r="AO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/>
      <x:c r="AN719"/>
      <x:c r="AO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  <x:c r="AK720"/>
      <x:c r="AL720"/>
      <x:c r="AM720"/>
      <x:c r="AN720"/>
      <x:c r="AO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/>
      <x:c r="AL721"/>
      <x:c r="AM721"/>
      <x:c r="AN721"/>
      <x:c r="AO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  <x:c r="AK722"/>
      <x:c r="AL722"/>
      <x:c r="AM722"/>
      <x:c r="AN722"/>
      <x:c r="AO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  <x:c r="AK723"/>
      <x:c r="AL723"/>
      <x:c r="AM723"/>
      <x:c r="AN723"/>
      <x:c r="AO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/>
      <x:c r="AN725"/>
      <x:c r="AO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/>
      <x:c r="AL726"/>
      <x:c r="AM726"/>
      <x:c r="AN726"/>
      <x:c r="AO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  <x:c r="AK727"/>
      <x:c r="AL727"/>
      <x:c r="AM727"/>
      <x:c r="AN727"/>
      <x:c r="AO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  <x:c r="AK728"/>
      <x:c r="AL728"/>
      <x:c r="AM728"/>
      <x:c r="AN728"/>
      <x:c r="AO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  <x:c r="AK729"/>
      <x:c r="AL729"/>
      <x:c r="AM729"/>
      <x:c r="AN729"/>
      <x:c r="AO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  <x:c r="AK730"/>
      <x:c r="AL730"/>
      <x:c r="AM730"/>
      <x:c r="AN730"/>
      <x:c r="AO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  <x:c r="AK731"/>
      <x:c r="AL731"/>
      <x:c r="AM731"/>
      <x:c r="AN731"/>
      <x:c r="AO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  <x:c r="AK732"/>
      <x:c r="AL732"/>
      <x:c r="AM732"/>
      <x:c r="AN732"/>
      <x:c r="AO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  <x:c r="AK733"/>
      <x:c r="AL733"/>
      <x:c r="AM733"/>
      <x:c r="AN733"/>
      <x:c r="AO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  <x:c r="AK734"/>
      <x:c r="AL734"/>
      <x:c r="AM734"/>
      <x:c r="AN734"/>
      <x:c r="AO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  <x:c r="AK736"/>
      <x:c r="AL736"/>
      <x:c r="AM736"/>
      <x:c r="AN736"/>
      <x:c r="AO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  <x:c r="AK737"/>
      <x:c r="AL737"/>
      <x:c r="AM737"/>
      <x:c r="AN737"/>
      <x:c r="AO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  <x:c r="AK738"/>
      <x:c r="AL738"/>
      <x:c r="AM738"/>
      <x:c r="AN738"/>
      <x:c r="AO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  <x:c r="AK740"/>
      <x:c r="AL740"/>
      <x:c r="AM740"/>
      <x:c r="AN740"/>
      <x:c r="AO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  <x:c r="AK741"/>
      <x:c r="AL741"/>
      <x:c r="AM741"/>
      <x:c r="AN741"/>
      <x:c r="AO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  <x:c r="AK742"/>
      <x:c r="AL742"/>
      <x:c r="AM742"/>
      <x:c r="AN742"/>
      <x:c r="AO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  <x:c r="AK743"/>
      <x:c r="AL743"/>
      <x:c r="AM743"/>
      <x:c r="AN743"/>
      <x:c r="AO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  <x:c r="AK744"/>
      <x:c r="AL744"/>
      <x:c r="AM744"/>
      <x:c r="AN744"/>
      <x:c r="AO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  <x:c r="AK745"/>
      <x:c r="AL745"/>
      <x:c r="AM745"/>
      <x:c r="AN745"/>
      <x:c r="AO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  <x:c r="AK746"/>
      <x:c r="AL746"/>
      <x:c r="AM746"/>
      <x:c r="AN746"/>
      <x:c r="AO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  <x:c r="AK747"/>
      <x:c r="AL747"/>
      <x:c r="AM747"/>
      <x:c r="AN747"/>
      <x:c r="AO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  <x:c r="AK748"/>
      <x:c r="AL748"/>
      <x:c r="AM748"/>
      <x:c r="AN748"/>
      <x:c r="AO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  <x:c r="AK749"/>
      <x:c r="AL749"/>
      <x:c r="AM749"/>
      <x:c r="AN749"/>
      <x:c r="AO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  <x:c r="AK750"/>
      <x:c r="AL750"/>
      <x:c r="AM750"/>
      <x:c r="AN750"/>
      <x:c r="AO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  <x:c r="AK751"/>
      <x:c r="AL751"/>
      <x:c r="AM751"/>
      <x:c r="AN751"/>
      <x:c r="AO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  <x:c r="AK752"/>
      <x:c r="AL752"/>
      <x:c r="AM752"/>
      <x:c r="AN752"/>
      <x:c r="AO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  <x:c r="AK753"/>
      <x:c r="AL753"/>
      <x:c r="AM753"/>
      <x:c r="AN753"/>
      <x:c r="AO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  <x:c r="AK754"/>
      <x:c r="AL754"/>
      <x:c r="AM754"/>
      <x:c r="AN754"/>
      <x:c r="AO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/>
      <x:c r="AN755"/>
      <x:c r="AO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/>
      <x:c r="AN758"/>
      <x:c r="AO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/>
      <x:c r="AN761"/>
      <x:c r="AO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/>
      <x:c r="AN764"/>
      <x:c r="AO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/>
      <x:c r="AL766"/>
      <x:c r="AM766"/>
      <x:c r="AN766"/>
      <x:c r="AO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/>
      <x:c r="AN767"/>
      <x:c r="AO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/>
      <x:c r="AN770"/>
      <x:c r="AO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  <x:c r="AK771"/>
      <x:c r="AL771"/>
      <x:c r="AM771"/>
      <x:c r="AN771"/>
      <x:c r="AO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  <x:c r="AK772"/>
      <x:c r="AL772"/>
      <x:c r="AM772"/>
      <x:c r="AN772"/>
      <x:c r="AO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  <x:c r="AK773"/>
      <x:c r="AL773"/>
      <x:c r="AM773"/>
      <x:c r="AN773"/>
      <x:c r="AO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  <x:c r="AK774"/>
      <x:c r="AL774"/>
      <x:c r="AM774"/>
      <x:c r="AN774"/>
      <x:c r="AO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  <x:c r="AK775"/>
      <x:c r="AL775"/>
      <x:c r="AM775"/>
      <x:c r="AN775"/>
      <x:c r="AO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  <x:c r="AK776"/>
      <x:c r="AL776"/>
      <x:c r="AM776"/>
      <x:c r="AN776"/>
      <x:c r="AO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  <x:c r="AK777"/>
      <x:c r="AL777"/>
      <x:c r="AM777"/>
      <x:c r="AN777"/>
      <x:c r="AO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  <x:c r="AK778"/>
      <x:c r="AL778"/>
      <x:c r="AM778"/>
      <x:c r="AN778"/>
      <x:c r="AO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  <x:c r="AK779"/>
      <x:c r="AL779"/>
      <x:c r="AM779"/>
      <x:c r="AN779"/>
      <x:c r="AO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  <x:c r="AK780"/>
      <x:c r="AL780"/>
      <x:c r="AM780"/>
      <x:c r="AN780"/>
      <x:c r="AO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  <x:c r="AK781"/>
      <x:c r="AL781"/>
      <x:c r="AM781"/>
      <x:c r="AN781"/>
      <x:c r="AO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  <x:c r="AK782"/>
      <x:c r="AL782"/>
      <x:c r="AM782"/>
      <x:c r="AN782"/>
      <x:c r="AO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  <x:c r="AK783"/>
      <x:c r="AL783"/>
      <x:c r="AM783"/>
      <x:c r="AN783"/>
      <x:c r="AO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  <x:c r="AK784"/>
      <x:c r="AL784"/>
      <x:c r="AM784"/>
      <x:c r="AN784"/>
      <x:c r="AO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  <x:c r="AK785"/>
      <x:c r="AL785"/>
      <x:c r="AM785"/>
      <x:c r="AN785"/>
      <x:c r="AO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  <x:c r="AK786"/>
      <x:c r="AL786"/>
      <x:c r="AM786"/>
      <x:c r="AN786"/>
      <x:c r="AO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  <x:c r="AK788"/>
      <x:c r="AL788"/>
      <x:c r="AM788"/>
      <x:c r="AN788"/>
      <x:c r="AO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  <x:c r="AK789"/>
      <x:c r="AL789"/>
      <x:c r="AM789"/>
      <x:c r="AN789"/>
      <x:c r="AO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  <x:c r="AK791"/>
      <x:c r="AL791"/>
      <x:c r="AM791"/>
      <x:c r="AN791"/>
      <x:c r="AO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  <x:c r="AK792"/>
      <x:c r="AL792"/>
      <x:c r="AM792"/>
      <x:c r="AN792"/>
      <x:c r="AO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  <x:c r="AK793"/>
      <x:c r="AL793"/>
      <x:c r="AM793"/>
      <x:c r="AN793"/>
      <x:c r="AO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  <x:c r="AK794"/>
      <x:c r="AL794"/>
      <x:c r="AM794"/>
      <x:c r="AN794"/>
      <x:c r="AO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  <x:c r="AK795"/>
      <x:c r="AL795"/>
      <x:c r="AM795"/>
      <x:c r="AN795"/>
      <x:c r="AO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  <x:c r="AK796"/>
      <x:c r="AL796"/>
      <x:c r="AM796"/>
      <x:c r="AN796"/>
      <x:c r="AO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  <x:c r="AK797"/>
      <x:c r="AL797"/>
      <x:c r="AM797"/>
      <x:c r="AN797"/>
      <x:c r="AO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  <x:c r="AK799"/>
      <x:c r="AL799"/>
      <x:c r="AM799"/>
      <x:c r="AN799"/>
      <x:c r="AO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  <x:c r="AK800"/>
      <x:c r="AL800"/>
      <x:c r="AM800"/>
      <x:c r="AN800"/>
      <x:c r="AO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  <x:c r="AK801"/>
      <x:c r="AL801"/>
      <x:c r="AM801"/>
      <x:c r="AN801"/>
      <x:c r="AO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  <x:c r="AK802"/>
      <x:c r="AL802"/>
      <x:c r="AM802"/>
      <x:c r="AN802"/>
      <x:c r="AO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  <x:c r="AK803"/>
      <x:c r="AL803"/>
      <x:c r="AM803"/>
      <x:c r="AN803"/>
      <x:c r="AO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  <x:c r="AK804"/>
      <x:c r="AL804"/>
      <x:c r="AM804"/>
      <x:c r="AN804"/>
      <x:c r="AO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  <x:c r="AK806"/>
      <x:c r="AL806"/>
      <x:c r="AM806"/>
      <x:c r="AN806"/>
      <x:c r="AO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  <x:c r="AK807"/>
      <x:c r="AL807"/>
      <x:c r="AM807"/>
      <x:c r="AN807"/>
      <x:c r="AO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  <x:c r="AK808"/>
      <x:c r="AL808"/>
      <x:c r="AM808"/>
      <x:c r="AN808"/>
      <x:c r="AO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  <x:c r="AK809"/>
      <x:c r="AL809"/>
      <x:c r="AM809"/>
      <x:c r="AN809"/>
      <x:c r="AO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  <x:c r="AK812"/>
      <x:c r="AL812"/>
      <x:c r="AM812"/>
      <x:c r="AN812"/>
      <x:c r="AO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  <x:c r="AK813"/>
      <x:c r="AL813"/>
      <x:c r="AM813"/>
      <x:c r="AN813"/>
      <x:c r="AO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/>
      <x:c r="AN815"/>
      <x:c r="AO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  <x:c r="AK816"/>
      <x:c r="AL816"/>
      <x:c r="AM816"/>
      <x:c r="AN816"/>
      <x:c r="AO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  <x:c r="AK817"/>
      <x:c r="AL817"/>
      <x:c r="AM817"/>
      <x:c r="AN817"/>
      <x:c r="AO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  <x:c r="AK818"/>
      <x:c r="AL818"/>
      <x:c r="AM818"/>
      <x:c r="AN818"/>
      <x:c r="AO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  <x:c r="AK819"/>
      <x:c r="AL819"/>
      <x:c r="AM819"/>
      <x:c r="AN819"/>
      <x:c r="AO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  <x:c r="AK820"/>
      <x:c r="AL820"/>
      <x:c r="AM820"/>
      <x:c r="AN820"/>
      <x:c r="AO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  <x:c r="AK821"/>
      <x:c r="AL821"/>
      <x:c r="AM821"/>
      <x:c r="AN821"/>
      <x:c r="AO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  <x:c r="AK822"/>
      <x:c r="AL822"/>
      <x:c r="AM822"/>
      <x:c r="AN822"/>
      <x:c r="AO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  <x:c r="AK823"/>
      <x:c r="AL823"/>
      <x:c r="AM823"/>
      <x:c r="AN823"/>
      <x:c r="AO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  <x:c r="AK824"/>
      <x:c r="AL824"/>
      <x:c r="AM824"/>
      <x:c r="AN824"/>
      <x:c r="AO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  <x:c r="AK825"/>
      <x:c r="AL825"/>
      <x:c r="AM825"/>
      <x:c r="AN825"/>
      <x:c r="AO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  <x:c r="AK826"/>
      <x:c r="AL826"/>
      <x:c r="AM826"/>
      <x:c r="AN826"/>
      <x:c r="AO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  <x:c r="AK827"/>
      <x:c r="AL827"/>
      <x:c r="AM827"/>
      <x:c r="AN827"/>
      <x:c r="AO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  <x:c r="AK828"/>
      <x:c r="AL828"/>
      <x:c r="AM828"/>
      <x:c r="AN828"/>
      <x:c r="AO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  <x:c r="AK829"/>
      <x:c r="AL829"/>
      <x:c r="AM829"/>
      <x:c r="AN829"/>
      <x:c r="AO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  <x:c r="AK830"/>
      <x:c r="AL830"/>
      <x:c r="AM830"/>
      <x:c r="AN830"/>
      <x:c r="AO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  <x:c r="AK831"/>
      <x:c r="AL831"/>
      <x:c r="AM831"/>
      <x:c r="AN831"/>
      <x:c r="AO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  <x:c r="AK832"/>
      <x:c r="AL832"/>
      <x:c r="AM832"/>
      <x:c r="AN832"/>
      <x:c r="AO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  <x:c r="AK833"/>
      <x:c r="AL833"/>
      <x:c r="AM833"/>
      <x:c r="AN833"/>
      <x:c r="AO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  <x:c r="AK834"/>
      <x:c r="AL834"/>
      <x:c r="AM834"/>
      <x:c r="AN834"/>
      <x:c r="AO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  <x:c r="AK835"/>
      <x:c r="AL835"/>
      <x:c r="AM835"/>
      <x:c r="AN835"/>
      <x:c r="AO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  <x:c r="AK836"/>
      <x:c r="AL836"/>
      <x:c r="AM836"/>
      <x:c r="AN836"/>
      <x:c r="AO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  <x:c r="AK837"/>
      <x:c r="AL837"/>
      <x:c r="AM837"/>
      <x:c r="AN837"/>
      <x:c r="AO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  <x:c r="AK839"/>
      <x:c r="AL839"/>
      <x:c r="AM839"/>
      <x:c r="AN839"/>
      <x:c r="AO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  <x:c r="AK840"/>
      <x:c r="AL840"/>
      <x:c r="AM840"/>
      <x:c r="AN840"/>
      <x:c r="AO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  <x:c r="AK841"/>
      <x:c r="AL841"/>
      <x:c r="AM841"/>
      <x:c r="AN841"/>
      <x:c r="AO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  <x:c r="AK842"/>
      <x:c r="AL842"/>
      <x:c r="AM842"/>
      <x:c r="AN842"/>
      <x:c r="AO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  <x:c r="AK843"/>
      <x:c r="AL843"/>
      <x:c r="AM843"/>
      <x:c r="AN843"/>
      <x:c r="AO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  <x:c r="AK844"/>
      <x:c r="AL844"/>
      <x:c r="AM844"/>
      <x:c r="AN844"/>
      <x:c r="AO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  <x:c r="AK845"/>
      <x:c r="AL845"/>
      <x:c r="AM845"/>
      <x:c r="AN845"/>
      <x:c r="AO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  <x:c r="AK846"/>
      <x:c r="AL846"/>
      <x:c r="AM846"/>
      <x:c r="AN846"/>
      <x:c r="AO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  <x:c r="AK847"/>
      <x:c r="AL847"/>
      <x:c r="AM847"/>
      <x:c r="AN847"/>
      <x:c r="AO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/>
      <x:c r="AN848"/>
      <x:c r="AO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  <x:c r="AK849"/>
      <x:c r="AL849"/>
      <x:c r="AM849"/>
      <x:c r="AN849"/>
      <x:c r="AO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  <x:c r="AK851"/>
      <x:c r="AL851"/>
      <x:c r="AM851"/>
      <x:c r="AN851"/>
      <x:c r="AO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  <x:c r="AK852"/>
      <x:c r="AL852"/>
      <x:c r="AM852"/>
      <x:c r="AN852"/>
      <x:c r="AO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  <x:c r="AK853"/>
      <x:c r="AL853"/>
      <x:c r="AM853"/>
      <x:c r="AN853"/>
      <x:c r="AO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/>
      <x:c r="AN854"/>
      <x:c r="AO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  <x:c r="AK855"/>
      <x:c r="AL855"/>
      <x:c r="AM855"/>
      <x:c r="AN855"/>
      <x:c r="AO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  <x:c r="AK857"/>
      <x:c r="AL857"/>
      <x:c r="AM857"/>
      <x:c r="AN857"/>
      <x:c r="AO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  <x:c r="AK858"/>
      <x:c r="AL858"/>
      <x:c r="AM858"/>
      <x:c r="AN858"/>
      <x:c r="AO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  <x:c r="AK859"/>
      <x:c r="AL859"/>
      <x:c r="AM859"/>
      <x:c r="AN859"/>
      <x:c r="AO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  <x:c r="AK860"/>
      <x:c r="AL860"/>
      <x:c r="AM860"/>
      <x:c r="AN860"/>
      <x:c r="AO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  <x:c r="AK861"/>
      <x:c r="AL861"/>
      <x:c r="AM861"/>
      <x:c r="AN861"/>
      <x:c r="AO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  <x:c r="AK862"/>
      <x:c r="AL862"/>
      <x:c r="AM862"/>
      <x:c r="AN862"/>
      <x:c r="AO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  <x:c r="AK863"/>
      <x:c r="AL863"/>
      <x:c r="AM863"/>
      <x:c r="AN863"/>
      <x:c r="AO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  <x:c r="AK864"/>
      <x:c r="AL864"/>
      <x:c r="AM864"/>
      <x:c r="AN864"/>
      <x:c r="AO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  <x:c r="AK865"/>
      <x:c r="AL865"/>
      <x:c r="AM865"/>
      <x:c r="AN865"/>
      <x:c r="AO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  <x:c r="AK866"/>
      <x:c r="AL866"/>
      <x:c r="AM866"/>
      <x:c r="AN866"/>
      <x:c r="AO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  <x:c r="AK867"/>
      <x:c r="AL867"/>
      <x:c r="AM867"/>
      <x:c r="AN867"/>
      <x:c r="AO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  <x:c r="AK868"/>
      <x:c r="AL868"/>
      <x:c r="AM868"/>
      <x:c r="AN868"/>
      <x:c r="AO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/>
      <x:c r="AN869"/>
      <x:c r="AO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  <x:c r="AK871"/>
      <x:c r="AL871"/>
      <x:c r="AM871"/>
      <x:c r="AN871"/>
      <x:c r="AO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  <x:c r="AK872"/>
      <x:c r="AL872"/>
      <x:c r="AM872"/>
      <x:c r="AN872"/>
      <x:c r="AO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  <x:c r="AK873"/>
      <x:c r="AL873"/>
      <x:c r="AM873"/>
      <x:c r="AN873"/>
      <x:c r="AO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  <x:c r="AK874"/>
      <x:c r="AL874"/>
      <x:c r="AM874"/>
      <x:c r="AN874"/>
      <x:c r="AO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  <x:c r="AK875"/>
      <x:c r="AL875"/>
      <x:c r="AM875"/>
      <x:c r="AN875"/>
      <x:c r="AO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  <x:c r="AK876"/>
      <x:c r="AL876"/>
      <x:c r="AM876"/>
      <x:c r="AN876"/>
      <x:c r="AO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  <x:c r="AK877"/>
      <x:c r="AL877"/>
      <x:c r="AM877"/>
      <x:c r="AN877"/>
      <x:c r="AO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  <x:c r="AK878"/>
      <x:c r="AL878"/>
      <x:c r="AM878"/>
      <x:c r="AN878"/>
      <x:c r="AO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  <x:c r="AK879"/>
      <x:c r="AL879"/>
      <x:c r="AM879"/>
      <x:c r="AN879"/>
      <x:c r="AO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  <x:c r="AK880"/>
      <x:c r="AL880"/>
      <x:c r="AM880"/>
      <x:c r="AN880"/>
      <x:c r="AO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  <x:c r="AK881"/>
      <x:c r="AL881"/>
      <x:c r="AM881"/>
      <x:c r="AN881"/>
      <x:c r="AO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  <x:c r="AK882"/>
      <x:c r="AL882"/>
      <x:c r="AM882"/>
      <x:c r="AN882"/>
      <x:c r="AO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  <x:c r="AK883"/>
      <x:c r="AL883"/>
      <x:c r="AM883"/>
      <x:c r="AN883"/>
      <x:c r="AO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  <x:c r="AK884"/>
      <x:c r="AL884"/>
      <x:c r="AM884"/>
      <x:c r="AN884"/>
      <x:c r="AO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  <x:c r="AK885"/>
      <x:c r="AL885"/>
      <x:c r="AM885"/>
      <x:c r="AN885"/>
      <x:c r="AO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  <x:c r="AK886"/>
      <x:c r="AL886"/>
      <x:c r="AM886"/>
      <x:c r="AN886"/>
      <x:c r="AO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  <x:c r="AK887"/>
      <x:c r="AL887"/>
      <x:c r="AM887"/>
      <x:c r="AN887"/>
      <x:c r="AO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  <x:c r="AK888"/>
      <x:c r="AL888"/>
      <x:c r="AM888"/>
      <x:c r="AN888"/>
      <x:c r="AO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  <x:c r="AK890"/>
      <x:c r="AL890"/>
      <x:c r="AM890"/>
      <x:c r="AN890"/>
      <x:c r="AO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  <x:c r="AK891"/>
      <x:c r="AL891"/>
      <x:c r="AM891"/>
      <x:c r="AN891"/>
      <x:c r="AO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  <x:c r="AK892"/>
      <x:c r="AL892"/>
      <x:c r="AM892"/>
      <x:c r="AN892"/>
      <x:c r="AO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  <x:c r="AK893"/>
      <x:c r="AL893"/>
      <x:c r="AM893"/>
      <x:c r="AN893"/>
      <x:c r="AO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  <x:c r="AK894"/>
      <x:c r="AL894"/>
      <x:c r="AM894"/>
      <x:c r="AN894"/>
      <x:c r="AO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  <x:c r="AK895"/>
      <x:c r="AL895"/>
      <x:c r="AM895"/>
      <x:c r="AN895"/>
      <x:c r="AO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  <x:c r="AK896"/>
      <x:c r="AL896"/>
      <x:c r="AM896"/>
      <x:c r="AN896"/>
      <x:c r="AO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  <x:c r="AK897"/>
      <x:c r="AL897"/>
      <x:c r="AM897"/>
      <x:c r="AN897"/>
      <x:c r="AO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  <x:c r="AK898"/>
      <x:c r="AL898"/>
      <x:c r="AM898"/>
      <x:c r="AN898"/>
      <x:c r="AO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  <x:c r="AK899"/>
      <x:c r="AL899"/>
      <x:c r="AM899"/>
      <x:c r="AN899"/>
      <x:c r="AO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  <x:c r="AK900"/>
      <x:c r="AL900"/>
      <x:c r="AM900"/>
      <x:c r="AN900"/>
      <x:c r="AO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  <x:c r="AK901"/>
      <x:c r="AL901"/>
      <x:c r="AM901"/>
      <x:c r="AN901"/>
      <x:c r="AO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  <x:c r="AK902"/>
      <x:c r="AL902"/>
      <x:c r="AM902"/>
      <x:c r="AN902"/>
      <x:c r="AO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  <x:c r="AK903"/>
      <x:c r="AL903"/>
      <x:c r="AM903"/>
      <x:c r="AN903"/>
      <x:c r="AO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  <x:c r="AK904"/>
      <x:c r="AL904"/>
      <x:c r="AM904"/>
      <x:c r="AN904"/>
      <x:c r="AO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  <x:c r="AK905"/>
      <x:c r="AL905"/>
      <x:c r="AM905"/>
      <x:c r="AN905"/>
      <x:c r="AO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  <x:c r="AK906"/>
      <x:c r="AL906"/>
      <x:c r="AM906"/>
      <x:c r="AN906"/>
      <x:c r="AO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  <x:c r="AK907"/>
      <x:c r="AL907"/>
      <x:c r="AM907"/>
      <x:c r="AN907"/>
      <x:c r="AO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  <x:c r="AK908"/>
      <x:c r="AL908"/>
      <x:c r="AM908"/>
      <x:c r="AN908"/>
      <x:c r="AO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  <x:c r="AK909"/>
      <x:c r="AL909"/>
      <x:c r="AM909"/>
      <x:c r="AN909"/>
      <x:c r="AO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  <x:c r="AK910"/>
      <x:c r="AL910"/>
      <x:c r="AM910"/>
      <x:c r="AN910"/>
      <x:c r="AO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  <x:c r="AK911"/>
      <x:c r="AL911"/>
      <x:c r="AM911"/>
      <x:c r="AN911"/>
      <x:c r="AO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  <x:c r="AK912"/>
      <x:c r="AL912"/>
      <x:c r="AM912"/>
      <x:c r="AN912"/>
      <x:c r="AO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  <x:c r="AK913"/>
      <x:c r="AL913"/>
      <x:c r="AM913"/>
      <x:c r="AN913"/>
      <x:c r="AO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  <x:c r="AK914"/>
      <x:c r="AL914"/>
      <x:c r="AM914"/>
      <x:c r="AN914"/>
      <x:c r="AO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  <x:c r="AK915"/>
      <x:c r="AL915"/>
      <x:c r="AM915"/>
      <x:c r="AN915"/>
      <x:c r="AO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  <x:c r="AK916"/>
      <x:c r="AL916"/>
      <x:c r="AM916"/>
      <x:c r="AN916"/>
      <x:c r="AO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  <x:c r="AK917"/>
      <x:c r="AL917"/>
      <x:c r="AM917"/>
      <x:c r="AN917"/>
      <x:c r="AO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  <x:c r="AK918"/>
      <x:c r="AL918"/>
      <x:c r="AM918"/>
      <x:c r="AN918"/>
      <x:c r="AO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  <x:c r="AK919"/>
      <x:c r="AL919"/>
      <x:c r="AM919"/>
      <x:c r="AN919"/>
      <x:c r="AO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/>
      <x:c r="AN920"/>
      <x:c r="AO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  <x:c r="AK921"/>
      <x:c r="AL921"/>
      <x:c r="AM921"/>
      <x:c r="AN921"/>
      <x:c r="AO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  <x:c r="AK922"/>
      <x:c r="AL922"/>
      <x:c r="AM922"/>
      <x:c r="AN922"/>
      <x:c r="AO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  <x:c r="AK923"/>
      <x:c r="AL923"/>
      <x:c r="AM923"/>
      <x:c r="AN923"/>
      <x:c r="AO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  <x:c r="AK924"/>
      <x:c r="AL924"/>
      <x:c r="AM924"/>
      <x:c r="AN924"/>
      <x:c r="AO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  <x:c r="AK925"/>
      <x:c r="AL925"/>
      <x:c r="AM925"/>
      <x:c r="AN925"/>
      <x:c r="AO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  <x:c r="AK926"/>
      <x:c r="AL926"/>
      <x:c r="AM926"/>
      <x:c r="AN926"/>
      <x:c r="AO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  <x:c r="AK927"/>
      <x:c r="AL927"/>
      <x:c r="AM927"/>
      <x:c r="AN927"/>
      <x:c r="AO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  <x:c r="AK928"/>
      <x:c r="AL928"/>
      <x:c r="AM928"/>
      <x:c r="AN928"/>
      <x:c r="AO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  <x:c r="AK929"/>
      <x:c r="AL929"/>
      <x:c r="AM929"/>
      <x:c r="AN929"/>
      <x:c r="AO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  <x:c r="AK930"/>
      <x:c r="AL930"/>
      <x:c r="AM930"/>
      <x:c r="AN930"/>
      <x:c r="AO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  <x:c r="AK931"/>
      <x:c r="AL931"/>
      <x:c r="AM931"/>
      <x:c r="AN931"/>
      <x:c r="AO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  <x:c r="AK932"/>
      <x:c r="AL932"/>
      <x:c r="AM932"/>
      <x:c r="AN932"/>
      <x:c r="AO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  <x:c r="AK933"/>
      <x:c r="AL933"/>
      <x:c r="AM933"/>
      <x:c r="AN933"/>
      <x:c r="AO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  <x:c r="AK935"/>
      <x:c r="AL935"/>
      <x:c r="AM935"/>
      <x:c r="AN935"/>
      <x:c r="AO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  <x:c r="AK936"/>
      <x:c r="AL936"/>
      <x:c r="AM936"/>
      <x:c r="AN936"/>
      <x:c r="AO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  <x:c r="AK937"/>
      <x:c r="AL937"/>
      <x:c r="AM937"/>
      <x:c r="AN937"/>
      <x:c r="AO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  <x:c r="AK938"/>
      <x:c r="AL938"/>
      <x:c r="AM938"/>
      <x:c r="AN938"/>
      <x:c r="AO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  <x:c r="AK939"/>
      <x:c r="AL939"/>
      <x:c r="AM939"/>
      <x:c r="AN939"/>
      <x:c r="AO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  <x:c r="AK940"/>
      <x:c r="AL940"/>
      <x:c r="AM940"/>
      <x:c r="AN940"/>
      <x:c r="AO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  <x:c r="AK941"/>
      <x:c r="AL941"/>
      <x:c r="AM941"/>
      <x:c r="AN941"/>
      <x:c r="AO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  <x:c r="AK942"/>
      <x:c r="AL942"/>
      <x:c r="AM942"/>
      <x:c r="AN942"/>
      <x:c r="AO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  <x:c r="AK943"/>
      <x:c r="AL943"/>
      <x:c r="AM943"/>
      <x:c r="AN943"/>
      <x:c r="AO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  <x:c r="AK944"/>
      <x:c r="AL944"/>
      <x:c r="AM944"/>
      <x:c r="AN944"/>
      <x:c r="AO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  <x:c r="AK945"/>
      <x:c r="AL945"/>
      <x:c r="AM945"/>
      <x:c r="AN945"/>
      <x:c r="AO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  <x:c r="AK946"/>
      <x:c r="AL946"/>
      <x:c r="AM946"/>
      <x:c r="AN946"/>
      <x:c r="AO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/>
      <x:c r="AN947"/>
      <x:c r="AO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  <x:c r="AK948"/>
      <x:c r="AL948"/>
      <x:c r="AM948"/>
      <x:c r="AN948"/>
      <x:c r="AO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  <x:c r="AK949"/>
      <x:c r="AL949"/>
      <x:c r="AM949"/>
      <x:c r="AN949"/>
      <x:c r="AO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  <x:c r="AK950"/>
      <x:c r="AL950"/>
      <x:c r="AM950"/>
      <x:c r="AN950"/>
      <x:c r="AO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  <x:c r="AK951"/>
      <x:c r="AL951"/>
      <x:c r="AM951"/>
      <x:c r="AN951"/>
      <x:c r="AO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  <x:c r="AK952"/>
      <x:c r="AL952"/>
      <x:c r="AM952"/>
      <x:c r="AN952"/>
      <x:c r="AO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  <x:c r="AK953"/>
      <x:c r="AL953"/>
      <x:c r="AM953"/>
      <x:c r="AN953"/>
      <x:c r="AO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  <x:c r="AK954"/>
      <x:c r="AL954"/>
      <x:c r="AM954"/>
      <x:c r="AN954"/>
      <x:c r="AO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  <x:c r="AK955"/>
      <x:c r="AL955"/>
      <x:c r="AM955"/>
      <x:c r="AN955"/>
      <x:c r="AO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  <x:c r="AK956"/>
      <x:c r="AL956"/>
      <x:c r="AM956"/>
      <x:c r="AN956"/>
      <x:c r="AO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  <x:c r="AK957"/>
      <x:c r="AL957"/>
      <x:c r="AM957"/>
      <x:c r="AN957"/>
      <x:c r="AO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  <x:c r="AK958"/>
      <x:c r="AL958"/>
      <x:c r="AM958"/>
      <x:c r="AN958"/>
      <x:c r="AO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  <x:c r="AK959"/>
      <x:c r="AL959"/>
      <x:c r="AM959"/>
      <x:c r="AN959"/>
      <x:c r="AO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  <x:c r="AK960"/>
      <x:c r="AL960"/>
      <x:c r="AM960"/>
      <x:c r="AN960"/>
      <x:c r="AO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  <x:c r="AK961"/>
      <x:c r="AL961"/>
      <x:c r="AM961"/>
      <x:c r="AN961"/>
      <x:c r="AO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  <x:c r="AK962"/>
      <x:c r="AL962"/>
      <x:c r="AM962"/>
      <x:c r="AN962"/>
      <x:c r="AO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  <x:c r="AK963"/>
      <x:c r="AL963"/>
      <x:c r="AM963"/>
      <x:c r="AN963"/>
      <x:c r="AO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  <x:c r="AK964"/>
      <x:c r="AL964"/>
      <x:c r="AM964"/>
      <x:c r="AN964"/>
      <x:c r="AO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  <x:c r="AK965"/>
      <x:c r="AL965"/>
      <x:c r="AM965"/>
      <x:c r="AN965"/>
      <x:c r="AO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  <x:c r="AK966"/>
      <x:c r="AL966"/>
      <x:c r="AM966"/>
      <x:c r="AN966"/>
      <x:c r="AO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  <x:c r="AK967"/>
      <x:c r="AL967"/>
      <x:c r="AM967"/>
      <x:c r="AN967"/>
      <x:c r="AO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  <x:c r="AK968"/>
      <x:c r="AL968"/>
      <x:c r="AM968"/>
      <x:c r="AN968"/>
      <x:c r="AO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  <x:c r="AK969"/>
      <x:c r="AL969"/>
      <x:c r="AM969"/>
      <x:c r="AN969"/>
      <x:c r="AO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  <x:c r="AK970"/>
      <x:c r="AL970"/>
      <x:c r="AM970"/>
      <x:c r="AN970"/>
      <x:c r="AO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  <x:c r="AK971"/>
      <x:c r="AL971"/>
      <x:c r="AM971"/>
      <x:c r="AN971"/>
      <x:c r="AO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  <x:c r="AK973"/>
      <x:c r="AL973"/>
      <x:c r="AM973"/>
      <x:c r="AN973"/>
      <x:c r="AO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  <x:c r="AK974"/>
      <x:c r="AL974"/>
      <x:c r="AM974"/>
      <x:c r="AN974"/>
      <x:c r="AO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  <x:c r="AK975"/>
      <x:c r="AL975"/>
      <x:c r="AM975"/>
      <x:c r="AN975"/>
      <x:c r="AO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  <x:c r="AK976"/>
      <x:c r="AL976"/>
      <x:c r="AM976"/>
      <x:c r="AN976"/>
      <x:c r="AO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  <x:c r="AK977"/>
      <x:c r="AL977"/>
      <x:c r="AM977"/>
      <x:c r="AN977"/>
      <x:c r="AO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  <x:c r="AK978"/>
      <x:c r="AL978"/>
      <x:c r="AM978"/>
      <x:c r="AN978"/>
      <x:c r="AO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  <x:c r="AK979"/>
      <x:c r="AL979"/>
      <x:c r="AM979"/>
      <x:c r="AN979"/>
      <x:c r="AO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  <x:c r="AK980"/>
      <x:c r="AL980"/>
      <x:c r="AM980"/>
      <x:c r="AN980"/>
      <x:c r="AO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  <x:c r="AK981"/>
      <x:c r="AL981"/>
      <x:c r="AM981"/>
      <x:c r="AN981"/>
      <x:c r="AO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  <x:c r="AK982"/>
      <x:c r="AL982"/>
      <x:c r="AM982"/>
      <x:c r="AN982"/>
      <x:c r="AO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  <x:c r="AK983"/>
      <x:c r="AL983"/>
      <x:c r="AM983"/>
      <x:c r="AN983"/>
      <x:c r="AO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  <x:c r="AK984"/>
      <x:c r="AL984"/>
      <x:c r="AM984"/>
      <x:c r="AN984"/>
      <x:c r="AO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  <x:c r="AK985"/>
      <x:c r="AL985"/>
      <x:c r="AM985"/>
      <x:c r="AN985"/>
      <x:c r="AO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  <x:c r="AK986"/>
      <x:c r="AL986"/>
      <x:c r="AM986"/>
      <x:c r="AN986"/>
      <x:c r="AO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  <x:c r="AK987"/>
      <x:c r="AL987"/>
      <x:c r="AM987"/>
      <x:c r="AN987"/>
      <x:c r="AO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  <x:c r="AK988"/>
      <x:c r="AL988"/>
      <x:c r="AM988"/>
      <x:c r="AN988"/>
      <x:c r="AO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  <x:c r="AK989"/>
      <x:c r="AL989"/>
      <x:c r="AM989"/>
      <x:c r="AN989"/>
      <x:c r="AO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  <x:c r="AK990"/>
      <x:c r="AL990"/>
      <x:c r="AM990"/>
      <x:c r="AN990"/>
      <x:c r="AO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  <x:c r="AK991"/>
      <x:c r="AL991"/>
      <x:c r="AM991"/>
      <x:c r="AN991"/>
      <x:c r="AO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  <x:c r="AK992"/>
      <x:c r="AL992"/>
      <x:c r="AM992"/>
      <x:c r="AN992"/>
      <x:c r="AO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  <x:c r="AK993"/>
      <x:c r="AL993"/>
      <x:c r="AM993"/>
      <x:c r="AN993"/>
      <x:c r="AO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  <x:c r="AK995"/>
      <x:c r="AL995"/>
      <x:c r="AM995"/>
      <x:c r="AN995"/>
      <x:c r="AO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  <x:c r="AK996"/>
      <x:c r="AL996"/>
      <x:c r="AM996"/>
      <x:c r="AN996"/>
      <x:c r="AO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  <x:c r="AK998"/>
      <x:c r="AL998"/>
      <x:c r="AM998"/>
      <x:c r="AN998"/>
      <x:c r="AO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  <x:c r="AK999"/>
      <x:c r="AL999"/>
      <x:c r="AM999"/>
      <x:c r="AN999"/>
      <x:c r="AO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</x:row>
  </x:sheetData>
  <x:mergeCells>
    <x:mergeCell ref="E6:F6"/>
    <x:mergeCell ref="G6:G7"/>
    <x:mergeCell ref="H6:K6"/>
    <x:mergeCell ref="L6:O6"/>
    <x:mergeCell ref="P6:S6"/>
    <x:mergeCell ref="T6:W6"/>
    <x:mergeCell ref="X6:AA6"/>
    <x:mergeCell ref="AB6:AE6"/>
    <x:mergeCell ref="AF6:AI6"/>
    <x:mergeCell ref="AJ6:AM6"/>
    <x:mergeCell ref="A8:AM8"/>
    <x:mergeCell ref="A16:AM16"/>
    <x:mergeCell ref="A22:AM22"/>
    <x:mergeCell ref="A28:AM28"/>
    <x:mergeCell ref="A33:AM33"/>
    <x:mergeCell ref="A2:Q2"/>
    <x:mergeCell ref="A4:G5"/>
    <x:mergeCell ref="H4:AE5"/>
    <x:mergeCell ref="AF4:AM5"/>
    <x:mergeCell ref="A6:A7"/>
    <x:mergeCell ref="B6:B7"/>
    <x:mergeCell ref="D6:D7"/>
  </x:mergeCells>
  <x:conditionalFormatting sqref="D1:D1 D3:D3 D6:D7 D9:D15 D17:D21">
    <x:cfRule type="containsText" dxfId="0" priority="1" operator="containsText" text="In process">
      <x:formula>NOT(ISERROR(SEARCH(("In process"),(D1))))</x:formula>
    </x:cfRule>
  </x:conditionalFormatting>
  <x:conditionalFormatting sqref="D1:D1 D3:D3 D6:D7 D9:D15 D17:D21">
    <x:cfRule type="containsText" dxfId="1" priority="2" operator="containsText" text="Done">
      <x:formula>NOT(ISERROR(SEARCH(("Done"),(D1))))</x:formula>
    </x:cfRule>
  </x:conditionalFormatting>
  <x:conditionalFormatting sqref="D9:D15 D17:D21">
    <x:cfRule type="containsText" dxfId="0" priority="3" operator="containsText" text="In progress">
      <x:formula>NOT(ISERROR(SEARCH(("In progress"),(D9))))</x:formula>
    </x:cfRule>
  </x:conditionalFormatting>
  <x:conditionalFormatting sqref="D23:D27">
    <x:cfRule type="containsText" dxfId="0" priority="4" operator="containsText" text="In progress">
      <x:formula>NOT(ISERROR(SEARCH(("In progress"),(D23))))</x:formula>
    </x:cfRule>
  </x:conditionalFormatting>
  <x:conditionalFormatting sqref="D23:D27">
    <x:cfRule type="containsText" dxfId="0" priority="5" operator="containsText" text="In process">
      <x:formula>NOT(ISERROR(SEARCH(("In process"),(D23))))</x:formula>
    </x:cfRule>
  </x:conditionalFormatting>
  <x:conditionalFormatting sqref="D23:D27">
    <x:cfRule type="containsText" dxfId="1" priority="6" operator="containsText" text="Done">
      <x:formula>NOT(ISERROR(SEARCH(("Done"),(D23))))</x:formula>
    </x:cfRule>
  </x:conditionalFormatting>
  <x:conditionalFormatting sqref="D29:D32">
    <x:cfRule type="containsText" dxfId="0" priority="7" operator="containsText" text="In progress">
      <x:formula>NOT(ISERROR(SEARCH(("In progress"),(D29))))</x:formula>
    </x:cfRule>
  </x:conditionalFormatting>
  <x:conditionalFormatting sqref="D29:D32">
    <x:cfRule type="containsText" dxfId="0" priority="8" operator="containsText" text="In process">
      <x:formula>NOT(ISERROR(SEARCH(("In process"),(D29))))</x:formula>
    </x:cfRule>
  </x:conditionalFormatting>
  <x:conditionalFormatting sqref="D29:D32">
    <x:cfRule type="containsText" dxfId="1" priority="9" operator="containsText" text="Done">
      <x:formula>NOT(ISERROR(SEARCH(("Done"),(D29))))</x:formula>
    </x:cfRule>
  </x:conditionalFormatting>
  <x:conditionalFormatting sqref="D34:D37">
    <x:cfRule type="containsText" dxfId="0" priority="10" operator="containsText" text="In progress">
      <x:formula>NOT(ISERROR(SEARCH(("In progress"),(D34))))</x:formula>
    </x:cfRule>
  </x:conditionalFormatting>
  <x:conditionalFormatting sqref="D34:D1000">
    <x:cfRule type="containsText" dxfId="0" priority="11" operator="containsText" text="In process">
      <x:formula>NOT(ISERROR(SEARCH(("In process"),(D34))))</x:formula>
    </x:cfRule>
  </x:conditionalFormatting>
  <x:conditionalFormatting sqref="D34:D1000">
    <x:cfRule type="containsText" dxfId="1" priority="12" operator="containsText" text="Done">
      <x:formula>NOT(ISERROR(SEARCH(("Done"),(D34))))</x:formula>
    </x:cfRule>
  </x:conditionalFormatting>
  <x:conditionalFormatting sqref="AO1:AO3">
    <x:cfRule type="containsText" dxfId="0" priority="13" operator="containsText" text="In progress">
      <x:formula>NOT(ISERROR(SEARCH(("In progress"),(AO1))))</x:formula>
    </x:cfRule>
  </x:conditionalFormatting>
  <x:conditionalFormatting sqref="AO1:AO3">
    <x:cfRule type="containsText" dxfId="0" priority="14" operator="containsText" text="In process">
      <x:formula>NOT(ISERROR(SEARCH(("In process"),(AO1))))</x:formula>
    </x:cfRule>
  </x:conditionalFormatting>
  <x:conditionalFormatting sqref="AO1:AO3">
    <x:cfRule type="containsText" dxfId="1" priority="15" operator="containsText" text="Done">
      <x:formula>NOT(ISERROR(SEARCH(("Done"),(AO1))))</x:formula>
    </x:cfRule>
  </x:conditionalFormatting>
  <x:pageMargins left="0.7" right="0.7" top="0.75" bottom="0.75" header="0.3" footer="0.3"/>
  <x:legacyDrawing xmlns:r="http://schemas.openxmlformats.org/officeDocument/2006/relationships" r:id="R34e506d750c145c6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6.630000114440918" customWidth="1"/>
    <x:col min="2" max="2" width="47" customWidth="1"/>
    <x:col min="3" max="3" width="85.12999725341797" customWidth="1"/>
    <x:col min="4" max="4" width="13.5" customWidth="1"/>
    <x:col min="5" max="5" width="12.5" customWidth="1"/>
    <x:col min="6" max="6" width="37.380001068115234" customWidth="1"/>
    <x:col min="7" max="7" width="13.130000114440918" customWidth="1"/>
    <x:col min="8" max="8" width="9.630000114440918" customWidth="1"/>
    <x:col min="9" max="9" width="10.380000114440918" customWidth="1"/>
    <x:col min="10" max="10" width="8.630000114440918" customWidth="1"/>
    <x:col min="11" max="11" width="9.380000114440918" customWidth="1"/>
    <x:col min="12" max="26" width="8.630000114440918" customWidth="1"/>
  </x:cols>
  <x:sheetData>
    <x:row r="1" ht="47.25" customHeight="1">
      <x:c r="A1" s="93" t="str">
        <x:v>AI INVENTORY &amp; WASTE MANAGER</x:v>
      </x:c>
    </x:row>
    <x:row r="2" ht="13.5" customHeight="1">
      <x:c r="A2" s="94"/>
      <x:c r="C2" s="95"/>
      <x:c r="D2" s="95"/>
      <x:c r="E2" s="95"/>
    </x:row>
    <x:row r="3" ht="13.5" customHeight="1">
      <x:c r="A3" s="94"/>
      <x:c r="B3" s="95"/>
      <x:c r="C3" s="95"/>
      <x:c r="D3" s="95"/>
      <x:c r="E3" s="95"/>
    </x:row>
    <x:row r="4" ht="13.5" customHeight="1">
      <x:c r="A4" s="95" t="str">
        <x:v>Đơn vị: Nhóm phát triển AI Inventory &amp; Waste Manager</x:v>
      </x:c>
      <x:c r="B4" s="96"/>
      <x:c r="C4" s="97"/>
      <x:c r="D4" s="97"/>
      <x:c r="E4" s="97"/>
    </x:row>
    <x:row r="5" ht="21" customHeight="1">
      <x:c r="A5" s="19"/>
      <x:c r="B5" s="98" t="str">
        <x:v>Dự án: AI Inventory &amp; Waste Manager</x:v>
      </x:c>
      <x:c r="E5" s="99" t="str">
        <x:v>Từ ngày: 14/07/2026</x:v>
      </x:c>
    </x:row>
    <x:row r="6" ht="20.25" customHeight="1">
      <x:c r="A6" s="19" t="str">
        <x:v>Khách hàng: Doanh nghiệp F&amp;B / Đơn vị vận hành</x:v>
      </x:c>
      <x:c r="B6" s="98"/>
      <x:c r="E6" s="99" t="str">
        <x:v>Đến ngày: 16/10/2026</x:v>
      </x:c>
    </x:row>
    <x:row r="7" ht="20.25" customHeight="1">
      <x:c r="A7" s="19"/>
      <x:c r="B7" s="98"/>
      <x:c r="E7" s="99"/>
    </x:row>
    <x:row r="8" ht="20.25" customHeight="1">
      <x:c r="A8" s="100"/>
    </x:row>
    <x:row r="9" ht="13.5" customHeight="1">
      <x:c r="A9" s="19"/>
      <x:c r="B9" s="19"/>
      <x:c r="C9" s="19"/>
      <x:c r="D9" s="19"/>
      <x:c r="E9" s="19"/>
    </x:row>
    <x:row r="10" ht="13.5" customHeight="1">
      <x:c r="A10" s="101" t="str">
        <x:v>STT</x:v>
      </x:c>
      <x:c r="B10" s="102" t="str">
        <x:v>Nội dung công việc</x:v>
      </x:c>
      <x:c r="C10" s="102" t="str">
        <x:v>Ghi chú</x:v>
      </x:c>
      <x:c r="D10" s="102" t="str">
        <x:v>Thời gian (ngày)</x:v>
      </x:c>
      <x:c r="E10" s="103" t="str">
        <x:v>Effort (manday)</x:v>
      </x:c>
      <x:c r="F10" s="104" t="str">
        <x:v>Comment</x:v>
      </x:c>
    </x:row>
    <x:row r="11" ht="22.5" customHeight="1">
      <x:c r="A11" s="105" t="str">
        <x:v>I</x:v>
      </x:c>
      <x:c r="B11" s="415" t="str">
        <x:v>PHÂN TÍCH VÀ THIẾT KẾ</x:v>
      </x:c>
      <x:c r="C11" s="416" t="str"/>
      <x:c r="D11" s="108"/>
      <x:c r="E11" s="109"/>
      <x:c r="F11" s="109" t="str"/>
    </x:row>
    <x:row r="12" ht="29.25" customHeight="1">
      <x:c r="A12" s="110" t="n">
        <x:v>1</x:v>
      </x:c>
      <x:c r="B12" s="417" t="str">
        <x:v>Lập kế hoạch và quản trị phạm vi</x:v>
      </x:c>
      <x:c r="C12" s="417" t="str">
        <x:v>WBS, mốc, rủi ro, kế hoạch truyền thông</x:v>
      </x:c>
      <x:c r="D12" s="401" t="n">
        <x:v>3</x:v>
      </x:c>
      <x:c r="E12" s="402" t="n">
        <x:v>3</x:v>
      </x:c>
      <x:c r="F12" s="113" t="str"/>
    </x:row>
    <x:row r="13" ht="30.75" customHeight="1">
      <x:c r="A13" s="110" t="n">
        <x:f t="shared" ref="A13:A16" si="1">A12+1</x:f>
        <x:v>2</x:v>
      </x:c>
      <x:c r="B13" s="417" t="str">
        <x:v>Phân tích nghiệp vụ F&amp;B</x:v>
      </x:c>
      <x:c r="C13" s="418" t="str">
        <x:v>Luồng nhập/xuất, FEFO, hao hụt, cảnh báo</x:v>
      </x:c>
      <x:c r="D13" s="401" t="n">
        <x:v>5</x:v>
      </x:c>
      <x:c r="E13" s="402" t="n">
        <x:v>8</x:v>
      </x:c>
      <x:c r="F13" s="113" t="str"/>
    </x:row>
    <x:row r="14" ht="29.25" customHeight="1">
      <x:c r="A14" s="110" t="n">
        <x:f t="shared" si="1"/>
        <x:v>3</x:v>
      </x:c>
      <x:c r="B14" s="419" t="str">
        <x:v>Đặc tả yêu cầu và tiêu chí nghiệm thu</x:v>
      </x:c>
      <x:c r="C14" s="420" t="str">
        <x:v>SRS, business rules, acceptance criteria</x:v>
      </x:c>
      <x:c r="D14" s="403" t="n">
        <x:v>5</x:v>
      </x:c>
      <x:c r="E14" s="402" t="n">
        <x:v>8</x:v>
      </x:c>
      <x:c r="F14" s="113" t="str"/>
    </x:row>
    <x:row r="15" ht="29.25" customHeight="1">
      <x:c r="A15" s="110" t="n">
        <x:f t="shared" si="1"/>
        <x:v>4</x:v>
      </x:c>
      <x:c r="B15" s="417" t="str">
        <x:v>Thiết kế kiến trúc hệ thống</x:v>
      </x:c>
      <x:c r="C15" s="420" t="str">
        <x:v>React SPA, Spring Boot, MySQL, Redis</x:v>
      </x:c>
      <x:c r="D15" s="403" t="n">
        <x:v>4</x:v>
      </x:c>
      <x:c r="E15" s="402" t="n">
        <x:v>8</x:v>
      </x:c>
      <x:c r="F15" s="113" t="str"/>
    </x:row>
    <x:row r="16" ht="29.25" customHeight="1">
      <x:c r="A16" s="110" t="n">
        <x:f t="shared" si="1"/>
        <x:v>5</x:v>
      </x:c>
      <x:c r="B16" s="421" t="str">
        <x:v>Thiết kế CSDL và giao diện</x:v>
      </x:c>
      <x:c r="C16" s="420" t="str">
        <x:v>Schema multi-tenant, wireframe responsive</x:v>
      </x:c>
      <x:c r="D16" s="403" t="n">
        <x:v>7</x:v>
      </x:c>
      <x:c r="E16" s="404" t="n">
        <x:v>14</x:v>
      </x:c>
      <x:c r="F16" s="119" t="str"/>
    </x:row>
    <x:row r="17" ht="23.25" customHeight="1">
      <x:c r="A17" s="120" t="str">
        <x:v>II</x:v>
      </x:c>
      <x:c r="B17" s="422" t="str">
        <x:v>PHÁT TRIỂN VÀ XÂY DỰNG</x:v>
      </x:c>
      <x:c r="C17" s="422" t="str"/>
      <x:c r="D17" s="405"/>
      <x:c r="E17" s="405"/>
      <x:c r="F17" s="121" t="str"/>
    </x:row>
    <x:row r="18" ht="28.5" customHeight="1">
      <x:c r="A18" s="122" t="n">
        <x:v>1</x:v>
      </x:c>
      <x:c r="B18" s="423" t="str">
        <x:v>Nền tảng hệ thống</x:v>
      </x:c>
      <x:c r="C18" s="424" t="str">
        <x:v>Multi-tenant, bảo mật, cấu hình dùng chung</x:v>
      </x:c>
      <x:c r="D18" s="406"/>
      <x:c r="E18" s="406"/>
      <x:c r="F18" s="125" t="str"/>
    </x:row>
    <x:row r="19" ht="13.5" customHeight="1">
      <x:c r="A19" s="126" t="str">
        <x:v>1.1</x:v>
      </x:c>
      <x:c r="B19" s="425" t="str">
        <x:v>Đăng ký, đăng nhập và refresh token</x:v>
      </x:c>
      <x:c r="C19" s="425" t="str">
        <x:v>JWT, BCrypt, phiên đăng nhập</x:v>
      </x:c>
      <x:c r="D19" s="407" t="n">
        <x:v>5</x:v>
      </x:c>
      <x:c r="E19" s="407" t="n">
        <x:v>8</x:v>
      </x:c>
      <x:c r="F19" s="126" t="str"/>
    </x:row>
    <x:row r="20" ht="13.5" customHeight="1">
      <x:c r="A20" s="126" t="str">
        <x:v>1.2</x:v>
      </x:c>
      <x:c r="B20" s="425" t="str">
        <x:v>Phân quyền SYSTEM_ADMIN/OWNER/MANAGER/STAFF</x:v>
      </x:c>
      <x:c r="C20" s="425" t="str">
        <x:v>Route/API guards và kiểm tra quyền</x:v>
      </x:c>
      <x:c r="D20" s="407" t="n">
        <x:v>4</x:v>
      </x:c>
      <x:c r="E20" s="407" t="n">
        <x:v>7</x:v>
      </x:c>
      <x:c r="F20" s="126" t="str"/>
    </x:row>
    <x:row r="21" ht="13.5" customHeight="1">
      <x:c r="A21" s="126" t="str">
        <x:v>1.3</x:v>
      </x:c>
      <x:c r="B21" s="425" t="str">
        <x:v>Tenant Context và chuyển đổi cửa hàng</x:v>
      </x:c>
      <x:c r="C21" s="425" t="str">
        <x:v>Cách ly dữ liệu theo x-store-id</x:v>
      </x:c>
      <x:c r="D21" s="407" t="n">
        <x:v>6</x:v>
      </x:c>
      <x:c r="E21" s="407" t="n">
        <x:v>10</x:v>
      </x:c>
      <x:c r="F21" s="126" t="str"/>
    </x:row>
    <x:row r="22" ht="13.5" customHeight="1">
      <x:c r="A22" s="126" t="str">
        <x:v>1.4</x:v>
      </x:c>
      <x:c r="B22" s="425" t="str">
        <x:v>Quản lý store và trạng thái hoạt động</x:v>
      </x:c>
      <x:c r="C22" s="425" t="str">
        <x:v>CRUD, khóa/mở và quyền sở hữu</x:v>
      </x:c>
      <x:c r="D22" s="407" t="n">
        <x:v>4</x:v>
      </x:c>
      <x:c r="E22" s="407" t="n">
        <x:v>7</x:v>
      </x:c>
      <x:c r="F22" s="126" t="str"/>
    </x:row>
    <x:row r="23" ht="13.5" customHeight="1">
      <x:c r="A23" s="126" t="n">
        <x:v>2</x:v>
      </x:c>
      <x:c r="B23" s="425" t="str">
        <x:v>Quản lý kho FEFO</x:v>
      </x:c>
      <x:c r="C23" s="425" t="str">
        <x:v>Nguyên liệu, lô hàng, giao dịch kho</x:v>
      </x:c>
      <x:c r="D23" s="407"/>
      <x:c r="E23" s="407"/>
      <x:c r="F23" s="126" t="str"/>
    </x:row>
    <x:row r="24" ht="13.5" customHeight="1">
      <x:c r="A24" s="126" t="str">
        <x:v>2.1</x:v>
      </x:c>
      <x:c r="B24" s="425" t="str">
        <x:v>Quản lý danh mục nguyên liệu</x:v>
      </x:c>
      <x:c r="C24" s="425" t="str">
        <x:v>Đơn vị tính, min stock, unit cost</x:v>
      </x:c>
      <x:c r="D24" s="407" t="n">
        <x:v>5</x:v>
      </x:c>
      <x:c r="E24" s="407" t="n">
        <x:v>9</x:v>
      </x:c>
      <x:c r="F24" s="126" t="str"/>
    </x:row>
    <x:row r="25" ht="18.75" customHeight="1">
      <x:c r="A25" s="127" t="str">
        <x:v>2.2</x:v>
      </x:c>
      <x:c r="B25" s="425" t="str">
        <x:v>Nhập kho theo lô</x:v>
      </x:c>
      <x:c r="C25" s="425" t="str">
        <x:v>Batch number, HSD, giá vốn</x:v>
      </x:c>
      <x:c r="D25" s="408" t="n">
        <x:v>5</x:v>
      </x:c>
      <x:c r="E25" s="409" t="n">
        <x:v>9</x:v>
      </x:c>
      <x:c r="F25" s="126" t="str"/>
    </x:row>
    <x:row r="26" ht="13.5" customHeight="1">
      <x:c r="A26" s="127" t="str">
        <x:v>2.3</x:v>
      </x:c>
      <x:c r="B26" s="425" t="str">
        <x:v>Xuất kho tự động theo FEFO</x:v>
      </x:c>
      <x:c r="C26" s="425" t="str">
        <x:v>Pessimistic lock, chống tồn âm</x:v>
      </x:c>
      <x:c r="D26" s="408" t="n">
        <x:v>7</x:v>
      </x:c>
      <x:c r="E26" s="409" t="n">
        <x:v>14</x:v>
      </x:c>
      <x:c r="F26" s="126" t="str"/>
    </x:row>
    <x:row r="27" ht="13.5" customHeight="1">
      <x:c r="A27" s="126" t="str">
        <x:v>2.4</x:v>
      </x:c>
      <x:c r="B27" s="425" t="str">
        <x:v>Ghi nhận hao hụt</x:v>
      </x:c>
      <x:c r="C27" s="425" t="str">
        <x:v>Lý do, số lượng, giá trị thất thoát</x:v>
      </x:c>
      <x:c r="D27" s="407" t="n">
        <x:v>4</x:v>
      </x:c>
      <x:c r="E27" s="410" t="n">
        <x:v>7</x:v>
      </x:c>
      <x:c r="F27" s="126" t="str"/>
    </x:row>
    <x:row r="28" ht="13.5" customHeight="1">
      <x:c r="A28" s="127" t="str">
        <x:v>2.5</x:v>
      </x:c>
      <x:c r="B28" s="425" t="str">
        <x:v>Lịch sử giao dịch và kiểm kê</x:v>
      </x:c>
      <x:c r="C28" s="425" t="str">
        <x:v>Tra cứu, lọc, phân trang</x:v>
      </x:c>
      <x:c r="D28" s="407" t="n">
        <x:v>4</x:v>
      </x:c>
      <x:c r="E28" s="410" t="n">
        <x:v>7</x:v>
      </x:c>
      <x:c r="F28" s="126" t="str"/>
    </x:row>
    <x:row r="29" ht="13.5" customHeight="1">
      <x:c r="A29" s="127" t="n">
        <x:v>3</x:v>
      </x:c>
      <x:c r="B29" s="425" t="str">
        <x:v>Cảnh báo, dự báo và báo cáo</x:v>
      </x:c>
      <x:c r="C29" s="425" t="str">
        <x:v>Dashboard và hỗ trợ quyết định</x:v>
      </x:c>
      <x:c r="D29" s="407"/>
      <x:c r="E29" s="410"/>
      <x:c r="F29" s="126" t="str"/>
    </x:row>
    <x:row r="30" ht="13.5" customHeight="1">
      <x:c r="A30" s="126" t="str">
        <x:v>3.1</x:v>
      </x:c>
      <x:c r="B30" s="425" t="str">
        <x:v>Cảnh báo tồn kho thấp</x:v>
      </x:c>
      <x:c r="C30" s="425" t="str">
        <x:v>Theo min stock và lịch quét</x:v>
      </x:c>
      <x:c r="D30" s="408" t="n">
        <x:v>3</x:v>
      </x:c>
      <x:c r="E30" s="409" t="n">
        <x:v>5</x:v>
      </x:c>
      <x:c r="F30" s="126" t="str"/>
    </x:row>
    <x:row r="31" ht="13.5" customHeight="1">
      <x:c r="A31" s="127" t="str">
        <x:v>3.2</x:v>
      </x:c>
      <x:c r="B31" s="425" t="str">
        <x:v>Cảnh báo sắp hết hạn</x:v>
      </x:c>
      <x:c r="C31" s="425" t="str">
        <x:v>Theo lô và ngưỡng ngày</x:v>
      </x:c>
      <x:c r="D31" s="408" t="n">
        <x:v>3</x:v>
      </x:c>
      <x:c r="E31" s="409" t="n">
        <x:v>5</x:v>
      </x:c>
      <x:c r="F31" s="126" t="str"/>
    </x:row>
    <x:row r="32" ht="30" customHeight="1">
      <x:c r="A32" s="122" t="str">
        <x:v>3.3</x:v>
      </x:c>
      <x:c r="B32" s="426" t="str">
        <x:v>Dự báo nhu cầu tiêu thụ</x:v>
      </x:c>
      <x:c r="C32" s="424" t="str">
        <x:v>Average usage và reorder suggestion</x:v>
      </x:c>
      <x:c r="D32" s="406" t="n">
        <x:v>6</x:v>
      </x:c>
      <x:c r="E32" s="406" t="n">
        <x:v>10</x:v>
      </x:c>
      <x:c r="F32" s="107" t="str"/>
    </x:row>
    <x:row r="33" ht="13.5" customHeight="1">
      <x:c r="A33" s="126" t="str">
        <x:v>3.4</x:v>
      </x:c>
      <x:c r="B33" s="425" t="str">
        <x:v>Dashboard KPI</x:v>
      </x:c>
      <x:c r="C33" s="425" t="str">
        <x:v>Tồn kho, hao hụt, cảnh báo, hành động</x:v>
      </x:c>
      <x:c r="D33" s="407" t="n">
        <x:v>5</x:v>
      </x:c>
      <x:c r="E33" s="407" t="n">
        <x:v>9</x:v>
      </x:c>
      <x:c r="F33" s="126" t="str"/>
    </x:row>
    <x:row r="34" ht="13.5" customHeight="1">
      <x:c r="A34" s="126" t="str">
        <x:v>3.5</x:v>
      </x:c>
      <x:c r="B34" s="425" t="str">
        <x:v>Báo cáo và xuất CSV</x:v>
      </x:c>
      <x:c r="C34" s="425" t="str">
        <x:v>Waste, transaction, audit log</x:v>
      </x:c>
      <x:c r="D34" s="407" t="n">
        <x:v>4</x:v>
      </x:c>
      <x:c r="E34" s="407" t="n">
        <x:v>7</x:v>
      </x:c>
      <x:c r="F34" s="126" t="str"/>
    </x:row>
    <x:row r="35" ht="13.5" customHeight="1">
      <x:c r="A35" s="126" t="n">
        <x:v>4</x:v>
      </x:c>
      <x:c r="B35" s="425" t="str">
        <x:v>Nhân sự và thương mại hóa</x:v>
      </x:c>
      <x:c r="C35" s="425" t="str">
        <x:v>Invitation, subscription, billing</x:v>
      </x:c>
      <x:c r="D35" s="407"/>
      <x:c r="E35" s="407"/>
      <x:c r="F35" s="126" t="str"/>
    </x:row>
    <x:row r="36" ht="13.5" customHeight="1">
      <x:c r="A36" s="126" t="str">
        <x:v>4.1</x:v>
      </x:c>
      <x:c r="B36" s="425" t="str">
        <x:v>Mời nhân viên qua email</x:v>
      </x:c>
      <x:c r="C36" s="425" t="str">
        <x:v>Token, mật khẩu tạm, rate limit</x:v>
      </x:c>
      <x:c r="D36" s="407" t="n">
        <x:v>5</x:v>
      </x:c>
      <x:c r="E36" s="407" t="n">
        <x:v>9</x:v>
      </x:c>
      <x:c r="F36" s="126" t="str"/>
    </x:row>
    <x:row r="37" ht="13.5" customHeight="1">
      <x:c r="A37" s="126" t="str">
        <x:v>4.2</x:v>
      </x:c>
      <x:c r="B37" s="425" t="str">
        <x:v>Đổi mật khẩu lần đầu</x:v>
      </x:c>
      <x:c r="C37" s="425" t="str">
        <x:v>MustChangePasswordFilter</x:v>
      </x:c>
      <x:c r="D37" s="407" t="n">
        <x:v>3</x:v>
      </x:c>
      <x:c r="E37" s="407" t="n">
        <x:v>5</x:v>
      </x:c>
      <x:c r="F37" s="126" t="str"/>
    </x:row>
    <x:row r="38" ht="13.5" customHeight="1">
      <x:c r="A38" s="126" t="str">
        <x:v>4.3</x:v>
      </x:c>
      <x:c r="B38" s="425" t="str">
        <x:v>Quản lý nhân sự cửa hàng</x:v>
      </x:c>
      <x:c r="C38" s="425" t="str">
        <x:v>Danh sách, vai trò, trạng thái</x:v>
      </x:c>
      <x:c r="D38" s="407" t="n">
        <x:v>4</x:v>
      </x:c>
      <x:c r="E38" s="407" t="n">
        <x:v>7</x:v>
      </x:c>
      <x:c r="F38" s="126" t="str"/>
    </x:row>
    <x:row r="39" ht="13.5" customHeight="1">
      <x:c r="A39" s="126" t="str">
        <x:v>4.4</x:v>
      </x:c>
      <x:c r="B39" s="425" t="str">
        <x:v>Gói FREE/BASIC/PRO/ENTERPRISE</x:v>
      </x:c>
      <x:c r="C39" s="425" t="str">
        <x:v>Hạn mức theo entitlement</x:v>
      </x:c>
      <x:c r="D39" s="407" t="n">
        <x:v>5</x:v>
      </x:c>
      <x:c r="E39" s="407" t="n">
        <x:v>9</x:v>
      </x:c>
      <x:c r="F39" s="126" t="str"/>
    </x:row>
    <x:row r="40" ht="13.5" customHeight="1">
      <x:c r="A40" s="128" t="str">
        <x:v>4.5</x:v>
      </x:c>
      <x:c r="B40" s="425" t="str">
        <x:v>Thanh toán và webhook</x:v>
      </x:c>
      <x:c r="C40" s="425" t="str">
        <x:v>Kích hoạt/gia hạn subscription</x:v>
      </x:c>
      <x:c r="D40" s="408" t="n">
        <x:v>5</x:v>
      </x:c>
      <x:c r="E40" s="409" t="n">
        <x:v>9</x:v>
      </x:c>
      <x:c r="F40" s="132" t="str"/>
    </x:row>
    <x:row r="41" ht="13.5" customHeight="1">
      <x:c r="A41" s="127" t="str">
        <x:v>4.6</x:v>
      </x:c>
      <x:c r="B41" s="425" t="str">
        <x:v>Trang quản trị hệ thống</x:v>
      </x:c>
      <x:c r="C41" s="425" t="str">
        <x:v>Tenant, user và giao dịch</x:v>
      </x:c>
      <x:c r="D41" s="408" t="n">
        <x:v>6</x:v>
      </x:c>
      <x:c r="E41" s="409" t="n">
        <x:v>10</x:v>
      </x:c>
      <x:c r="F41" s="132" t="str"/>
    </x:row>
    <x:row r="42" ht="13.5" customHeight="1">
      <x:c r="A42" s="128" t="n">
        <x:v>5</x:v>
      </x:c>
      <x:c r="B42" s="425" t="str">
        <x:v>Kiểm thử và chất lượng</x:v>
      </x:c>
      <x:c r="C42" s="425" t="str"/>
      <x:c r="D42" s="408"/>
      <x:c r="E42" s="409"/>
      <x:c r="F42" s="132" t="str"/>
    </x:row>
    <x:row r="43" ht="13.5" customHeight="1">
      <x:c r="A43" s="133" t="str">
        <x:v>5.1</x:v>
      </x:c>
      <x:c r="B43" s="425" t="str">
        <x:v>Unit/integration test backend</x:v>
      </x:c>
      <x:c r="C43" s="425" t="str">
        <x:v>FEFO, auth, tenant, billing</x:v>
      </x:c>
      <x:c r="D43" s="408" t="n">
        <x:v>7</x:v>
      </x:c>
      <x:c r="E43" s="409" t="n">
        <x:v>12</x:v>
      </x:c>
      <x:c r="F43" s="132" t="str"/>
    </x:row>
    <x:row r="44" ht="13.5" customHeight="1">
      <x:c r="A44" s="133" t="str">
        <x:v>5.2</x:v>
      </x:c>
      <x:c r="B44" s="425" t="str">
        <x:v>Kiểm thử frontend và responsive</x:v>
      </x:c>
      <x:c r="C44" s="425" t="str">
        <x:v>Các luồng chính, lỗi và trạng thái rỗng</x:v>
      </x:c>
      <x:c r="D44" s="408" t="n">
        <x:v>5</x:v>
      </x:c>
      <x:c r="E44" s="409" t="n">
        <x:v>9</x:v>
      </x:c>
      <x:c r="F44" s="132" t="str"/>
    </x:row>
    <x:row r="45" ht="13.5" customHeight="1">
      <x:c r="A45" s="133" t="str">
        <x:v>5.3</x:v>
      </x:c>
      <x:c r="B45" s="425" t="str">
        <x:v>Kiểm thử bảo mật và UAT</x:v>
      </x:c>
      <x:c r="C45" s="425" t="str">
        <x:v>Phân quyền, rò rỉ tenant, nghiệm thu</x:v>
      </x:c>
      <x:c r="D45" s="408" t="n">
        <x:v>6</x:v>
      </x:c>
      <x:c r="E45" s="409" t="n">
        <x:v>10</x:v>
      </x:c>
      <x:c r="F45" s="132" t="str"/>
    </x:row>
    <x:row r="46" ht="13.5" customHeight="1">
      <x:c r="A46" s="133" t="str">
        <x:v>III</x:v>
      </x:c>
      <x:c r="B46" s="425" t="str">
        <x:v>TÍCH HỢP, TRIỂN KHAI VÀ BÀN GIAO</x:v>
      </x:c>
      <x:c r="C46" s="425" t="str"/>
      <x:c r="D46" s="408"/>
      <x:c r="E46" s="409"/>
      <x:c r="F46" s="132" t="str"/>
    </x:row>
    <x:row r="47" ht="13.5" customHeight="1">
      <x:c r="A47" s="133" t="str">
        <x:v>6.1</x:v>
      </x:c>
      <x:c r="B47" s="425" t="str">
        <x:v>Tích hợp Gmail SMTP và Redis</x:v>
      </x:c>
      <x:c r="C47" s="425" t="str">
        <x:v>Email invitation, cache/rate limit</x:v>
      </x:c>
      <x:c r="D47" s="408" t="n">
        <x:v>3</x:v>
      </x:c>
      <x:c r="E47" s="409" t="n">
        <x:v>5</x:v>
      </x:c>
      <x:c r="F47" s="132" t="str"/>
    </x:row>
    <x:row r="48" ht="30" customHeight="1">
      <x:c r="A48" s="134" t="str">
        <x:v>6.2</x:v>
      </x:c>
      <x:c r="B48" s="423" t="str">
        <x:v>Chuẩn bị môi trường production</x:v>
      </x:c>
      <x:c r="C48" s="424" t="str">
        <x:v>Java 21, MySQL 8, Redis, reverse proxy</x:v>
      </x:c>
      <x:c r="D48" s="406" t="n">
        <x:v>4</x:v>
      </x:c>
      <x:c r="E48" s="406" t="n">
        <x:v>7</x:v>
      </x:c>
      <x:c r="F48" s="107" t="str"/>
    </x:row>
    <x:row r="49" ht="13.5" customHeight="1">
      <x:c r="A49" s="135" t="str">
        <x:v>6.3</x:v>
      </x:c>
      <x:c r="B49" s="427" t="str">
        <x:v>Migration dữ liệu và cấu hình</x:v>
      </x:c>
      <x:c r="C49" s="427" t="str">
        <x:v>Flyway, secrets, backup</x:v>
      </x:c>
      <x:c r="D49" s="411" t="n">
        <x:v>3</x:v>
      </x:c>
      <x:c r="E49" s="412" t="n">
        <x:v>5</x:v>
      </x:c>
      <x:c r="F49" s="126" t="str"/>
    </x:row>
    <x:row r="50" ht="13.5" customHeight="1">
      <x:c r="A50" s="135" t="str">
        <x:v>6.4</x:v>
      </x:c>
      <x:c r="B50" s="427" t="str">
        <x:v>Đào tạo, tài liệu và bàn giao</x:v>
      </x:c>
      <x:c r="C50" s="427" t="str">
        <x:v>HDSD, vận hành, hỗ trợ sau go-live</x:v>
      </x:c>
      <x:c r="D50" s="411" t="n">
        <x:v>5</x:v>
      </x:c>
      <x:c r="E50" s="412" t="n">
        <x:v>8</x:v>
      </x:c>
      <x:c r="F50" s="126" t="str"/>
    </x:row>
    <x:row r="51" ht="13.5" customHeight="1">
      <x:c r="A51" s="135"/>
      <x:c r="B51" s="427"/>
      <x:c r="C51" s="427"/>
      <x:c r="D51" s="411"/>
      <x:c r="E51" s="412"/>
      <x:c r="F51" s="126"/>
    </x:row>
    <x:row r="52" ht="13.5" customHeight="1">
      <x:c r="A52" s="135"/>
      <x:c r="B52" s="427"/>
      <x:c r="C52" s="427"/>
      <x:c r="D52" s="411"/>
      <x:c r="E52" s="412"/>
      <x:c r="F52" s="126"/>
      <x:c r="L52" s="138"/>
    </x:row>
    <x:row r="53" ht="22.5" customHeight="1">
      <x:c r="A53" s="139"/>
      <x:c r="B53" s="428" t="str">
        <x:v>TỔNG</x:v>
      </x:c>
      <x:c r="C53" s="428" t="str"/>
      <x:c r="D53" s="413" t="n">
        <x:f>SUM(D12:D52)</x:f>
        <x:v>150</x:v>
      </x:c>
      <x:c r="E53" s="414" t="n">
        <x:f>SUM(E12:E52)</x:f>
        <x:v>260</x:v>
      </x:c>
      <x:c r="F53" s="142"/>
    </x:row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E1"/>
    <x:mergeCell ref="A2:B2"/>
    <x:mergeCell ref="A8:E8"/>
    <x:mergeCell ref="B11:C11"/>
    <x:mergeCell ref="B18:F18"/>
    <x:mergeCell ref="B32:F32"/>
    <x:mergeCell ref="B48:F4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5.380000114440918" customWidth="1"/>
    <x:col min="2" max="2" width="51.130001068115234" customWidth="1"/>
    <x:col min="3" max="3" width="15" hidden="1" customWidth="1"/>
    <x:col min="4" max="4" width="10.880000114440918" customWidth="1"/>
    <x:col min="5" max="6" width="10.630000114440918" customWidth="1"/>
    <x:col min="7" max="8" width="9.880000114440918" customWidth="1"/>
    <x:col min="9" max="9" width="8.630000114440918" customWidth="1"/>
    <x:col min="10" max="10" width="11.130000114440918" hidden="1" customWidth="1"/>
    <x:col min="11" max="11" width="10.630000114440918" hidden="1" customWidth="1"/>
    <x:col min="12" max="12" width="8.130000114440918" hidden="1" customWidth="1"/>
    <x:col min="13" max="66" width="3.130000114440918" customWidth="1"/>
    <x:col min="67" max="67" width="3.5" customWidth="1"/>
    <x:col min="68" max="80" width="9" customWidth="1"/>
  </x:cols>
  <x:sheetData>
    <x:row r="1" ht="13.5" customHeight="1">
      <x:c r="A1" s="143" t="str">
        <x:v>Dự án AI Inventory &amp; Waste Manager</x:v>
      </x:c>
      <x:c r="B1" s="144"/>
      <x:c r="C1" s="144"/>
      <x:c r="D1" s="144"/>
      <x:c r="E1" s="144"/>
      <x:c r="F1" s="145"/>
      <x:c r="G1" s="146"/>
      <x:c r="H1" s="145"/>
      <x:c r="I1" s="145"/>
      <x:c r="J1" s="147"/>
      <x:c r="K1" s="145"/>
      <x:c r="L1" s="145"/>
      <x:c r="M1" s="148"/>
      <x:c r="N1" s="145"/>
      <x:c r="O1" s="145"/>
      <x:c r="P1" s="145"/>
      <x:c r="Q1" s="145"/>
      <x:c r="R1" s="145"/>
      <x:c r="S1" s="145"/>
      <x:c r="T1" s="145"/>
      <x:c r="U1" s="145"/>
      <x:c r="V1" s="145"/>
      <x:c r="W1" s="145"/>
      <x:c r="X1" s="145"/>
      <x:c r="Y1" s="145"/>
      <x:c r="Z1" s="145"/>
      <x:c r="AA1" s="145"/>
      <x:c r="AB1" s="145"/>
      <x:c r="AC1" s="145"/>
      <x:c r="AD1" s="145"/>
      <x:c r="AE1" s="145"/>
      <x:c r="AF1" s="145"/>
      <x:c r="AG1" s="145"/>
      <x:c r="AH1" s="145"/>
      <x:c r="AI1" s="145"/>
      <x:c r="AJ1" s="145"/>
      <x:c r="AK1" s="145"/>
      <x:c r="AL1" s="145"/>
      <x:c r="AM1" s="145"/>
      <x:c r="AN1" s="145"/>
      <x:c r="AO1" s="145"/>
      <x:c r="AP1" s="145"/>
      <x:c r="AQ1" s="145"/>
      <x:c r="AR1" s="145"/>
      <x:c r="AS1" s="145"/>
      <x:c r="AT1" s="145"/>
      <x:c r="AU1" s="145"/>
      <x:c r="AV1" s="145"/>
      <x:c r="AW1" s="145"/>
      <x:c r="AX1" s="145"/>
      <x:c r="AY1" s="145"/>
      <x:c r="AZ1" s="145"/>
      <x:c r="BA1" s="145"/>
      <x:c r="BB1" s="145"/>
      <x:c r="BC1" s="145"/>
      <x:c r="BD1" s="145"/>
      <x:c r="BE1" s="145"/>
      <x:c r="BF1" s="145"/>
      <x:c r="BG1" s="145"/>
      <x:c r="BH1" s="145"/>
      <x:c r="BI1" s="149" t="s">
        <x:v>39</x:v>
      </x:c>
      <x:c r="BJ1" s="145"/>
      <x:c r="BK1" s="145"/>
      <x:c r="BL1" s="145"/>
      <x:c r="BM1" s="145"/>
      <x:c r="BN1" s="145"/>
      <x:c r="BO1" s="145"/>
    </x:row>
    <x:row r="2" ht="13.5" customHeight="1">
      <x:c r="A2" s="145" t="str">
        <x:v>Đơn vị: Nhóm phát triển AI Inventory &amp; Waste Manager</x:v>
      </x:c>
      <x:c r="B2" s="145"/>
      <x:c r="C2" s="145"/>
      <x:c r="D2" s="145"/>
      <x:c r="E2" s="145"/>
      <x:c r="F2" s="145"/>
      <x:c r="G2" s="147"/>
      <x:c r="H2" s="145"/>
      <x:c r="I2" s="145"/>
      <x:c r="J2" s="147"/>
      <x:c r="K2" s="145"/>
      <x:c r="L2" s="145"/>
      <x:c r="M2" s="150"/>
      <x:c r="N2" s="145"/>
      <x:c r="O2" s="145"/>
      <x:c r="P2" s="145"/>
      <x:c r="Q2" s="145"/>
      <x:c r="R2" s="145"/>
      <x:c r="S2" s="145"/>
      <x:c r="T2" s="145"/>
      <x:c r="U2" s="145"/>
      <x:c r="V2" s="145"/>
      <x:c r="W2" s="145"/>
      <x:c r="X2" s="145"/>
      <x:c r="Y2" s="145"/>
      <x:c r="Z2" s="145"/>
      <x:c r="AA2" s="145"/>
      <x:c r="AB2" s="145"/>
      <x:c r="AC2" s="145"/>
      <x:c r="AD2" s="145"/>
      <x:c r="AE2" s="145"/>
      <x:c r="AF2" s="145"/>
      <x:c r="AG2" s="145"/>
      <x:c r="AH2" s="145"/>
      <x:c r="AI2" s="145"/>
      <x:c r="AJ2" s="145"/>
      <x:c r="AK2" s="145"/>
      <x:c r="AL2" s="145"/>
      <x:c r="AM2" s="145"/>
      <x:c r="AN2" s="145"/>
      <x:c r="AO2" s="145"/>
      <x:c r="AP2" s="145"/>
      <x:c r="AQ2" s="145"/>
      <x:c r="AR2" s="145"/>
      <x:c r="AS2" s="145"/>
      <x:c r="AT2" s="145"/>
      <x:c r="AU2" s="145"/>
      <x:c r="AV2" s="145"/>
      <x:c r="AW2" s="145"/>
      <x:c r="AX2" s="145"/>
      <x:c r="AY2" s="145"/>
      <x:c r="AZ2" s="145"/>
      <x:c r="BA2" s="145"/>
      <x:c r="BB2" s="145"/>
      <x:c r="BC2" s="145"/>
      <x:c r="BD2" s="145"/>
      <x:c r="BE2" s="145"/>
      <x:c r="BF2" s="145"/>
      <x:c r="BG2" s="145"/>
      <x:c r="BH2" s="145"/>
      <x:c r="BI2" s="145"/>
      <x:c r="BJ2" s="145"/>
      <x:c r="BK2" s="145"/>
      <x:c r="BL2" s="145"/>
      <x:c r="BM2" s="145"/>
      <x:c r="BN2" s="145"/>
      <x:c r="BO2" s="145"/>
    </x:row>
    <x:row r="3" ht="13.5" customHeight="1">
      <x:c r="A3" s="145" t="str">
        <x:v>Người lập: Hoàng Lương</x:v>
      </x:c>
      <x:c r="B3" s="145"/>
      <x:c r="C3" s="145"/>
      <x:c r="D3" s="145"/>
      <x:c r="E3" s="145"/>
      <x:c r="F3" s="151" t="s">
        <x:v>40</x:v>
      </x:c>
      <x:c r="G3" s="429" t="n">
        <x:v>46217</x:v>
      </x:c>
      <x:c r="H3" s="153"/>
      <x:c r="I3" s="145"/>
      <x:c r="J3" s="147"/>
      <x:c r="K3" s="145"/>
      <x:c r="L3" s="145"/>
      <x:c r="M3" s="145"/>
      <x:c r="N3" s="145"/>
      <x:c r="O3" s="145"/>
      <x:c r="P3" s="145"/>
      <x:c r="Q3" s="145"/>
      <x:c r="R3" s="145"/>
      <x:c r="S3" s="145"/>
      <x:c r="T3" s="145"/>
      <x:c r="U3" s="145"/>
      <x:c r="V3" s="145"/>
      <x:c r="W3" s="145"/>
      <x:c r="X3" s="145"/>
      <x:c r="Y3" s="145"/>
      <x:c r="Z3" s="145"/>
      <x:c r="AA3" s="145"/>
      <x:c r="AB3" s="145"/>
      <x:c r="AC3" s="145"/>
      <x:c r="AD3" s="145"/>
      <x:c r="AE3" s="145"/>
      <x:c r="AF3" s="145"/>
      <x:c r="AG3" s="145"/>
      <x:c r="AH3" s="145"/>
      <x:c r="AI3" s="145"/>
      <x:c r="AJ3" s="145"/>
      <x:c r="AK3" s="145"/>
      <x:c r="AL3" s="145"/>
      <x:c r="AM3" s="145"/>
      <x:c r="AN3" s="145"/>
      <x:c r="AO3" s="145"/>
      <x:c r="AP3" s="145"/>
      <x:c r="AQ3" s="145"/>
      <x:c r="AR3" s="145"/>
      <x:c r="AS3" s="145"/>
      <x:c r="AT3" s="145"/>
      <x:c r="AU3" s="145"/>
      <x:c r="AV3" s="145"/>
      <x:c r="AW3" s="145"/>
      <x:c r="AX3" s="145"/>
      <x:c r="AY3" s="145"/>
      <x:c r="AZ3" s="145"/>
      <x:c r="BA3" s="145"/>
      <x:c r="BB3" s="145"/>
      <x:c r="BC3" s="145"/>
      <x:c r="BD3" s="145"/>
      <x:c r="BE3" s="145"/>
      <x:c r="BF3" s="145"/>
      <x:c r="BG3" s="145"/>
      <x:c r="BH3" s="145"/>
      <x:c r="BI3" s="145"/>
      <x:c r="BJ3" s="145"/>
      <x:c r="BK3" s="145"/>
      <x:c r="BL3" s="145"/>
      <x:c r="BM3" s="145"/>
      <x:c r="BN3" s="145"/>
      <x:c r="BO3" s="145"/>
    </x:row>
    <x:row r="4" ht="13.5" customHeight="1">
      <x:c r="A4" s="151"/>
      <x:c r="B4" s="145"/>
      <x:c r="C4" s="145"/>
      <x:c r="D4" s="145"/>
      <x:c r="E4" s="145"/>
      <x:c r="F4" s="151" t="s">
        <x:v>41</x:v>
      </x:c>
      <x:c r="G4" s="154" t="str">
        <x:v>Weekly</x:v>
      </x:c>
      <x:c r="H4" s="145"/>
      <x:c r="I4" s="145"/>
      <x:c r="J4" s="147"/>
      <x:c r="K4" s="145"/>
      <x:c r="L4" s="145"/>
      <x:c r="M4" s="145"/>
      <x:c r="N4" s="145"/>
      <x:c r="O4" s="145"/>
      <x:c r="P4" s="145"/>
      <x:c r="Q4" s="145"/>
      <x:c r="R4" s="145"/>
      <x:c r="S4" s="145"/>
      <x:c r="T4" s="145"/>
      <x:c r="U4" s="145"/>
      <x:c r="V4" s="145"/>
      <x:c r="W4" s="145"/>
      <x:c r="X4" s="145"/>
      <x:c r="Y4" s="145"/>
      <x:c r="Z4" s="145"/>
      <x:c r="AA4" s="145"/>
      <x:c r="AB4" s="145"/>
      <x:c r="AC4" s="145"/>
      <x:c r="AD4" s="145"/>
      <x:c r="AE4" s="145"/>
      <x:c r="AF4" s="145"/>
      <x:c r="AG4" s="145"/>
      <x:c r="AH4" s="145"/>
      <x:c r="AI4" s="145"/>
      <x:c r="AJ4" s="145"/>
      <x:c r="AK4" s="145"/>
      <x:c r="AL4" s="145"/>
      <x:c r="AM4" s="145"/>
      <x:c r="AN4" s="145"/>
      <x:c r="AO4" s="145"/>
      <x:c r="AP4" s="145"/>
      <x:c r="AQ4" s="145"/>
      <x:c r="AR4" s="145"/>
      <x:c r="AS4" s="145"/>
      <x:c r="AT4" s="145"/>
      <x:c r="AU4" s="145"/>
      <x:c r="AV4" s="145"/>
      <x:c r="AW4" s="145"/>
      <x:c r="AX4" s="145"/>
      <x:c r="AY4" s="145"/>
      <x:c r="AZ4" s="145"/>
      <x:c r="BA4" s="145"/>
      <x:c r="BB4" s="145"/>
      <x:c r="BC4" s="145"/>
      <x:c r="BD4" s="145"/>
      <x:c r="BE4" s="145"/>
      <x:c r="BF4" s="145"/>
      <x:c r="BG4" s="145"/>
      <x:c r="BH4" s="145"/>
      <x:c r="BI4" s="145"/>
      <x:c r="BJ4" s="145"/>
      <x:c r="BK4" s="145"/>
      <x:c r="BL4" s="145"/>
      <x:c r="BM4" s="145"/>
      <x:c r="BN4" s="145"/>
      <x:c r="BO4" s="145"/>
    </x:row>
    <x:row r="5" ht="13.5" customHeight="1">
      <x:c r="A5" s="151"/>
      <x:c r="B5" s="145"/>
      <x:c r="C5" s="145"/>
      <x:c r="D5" s="145"/>
      <x:c r="E5" s="145"/>
      <x:c r="F5" s="151" t="s">
        <x:v>42</x:v>
      </x:c>
      <x:c r="G5" s="155" t="n">
        <x:v>1</x:v>
      </x:c>
      <x:c r="H5" s="145"/>
      <x:c r="I5" s="145"/>
      <x:c r="J5" s="147"/>
      <x:c r="K5" s="145"/>
      <x:c r="L5" s="145"/>
      <x:c r="M5" s="156" t="n">
        <x:f>IF(G4="Weekly",G3+7*(G5-1),IF(G4="Daily",G3+(G5-1),IF(G4="Monthly",EDATE($G$3,($G$5-1)),EDATE($G$3,3*($G$5-1)))))</x:f>
        <x:v>46217</x:v>
      </x:c>
      <x:c r="N5" s="156" t="n">
        <x:f t="shared" ref="N5:BO5" si="1">IF($G$4="Daily",M5+1,IF($G$4="Weekly",M5+7,IF($G$4="Monthly",EDATE($G$3,N7-1),EDATE($G$3,3*(N7-1)))))</x:f>
        <x:v>46224</x:v>
      </x:c>
      <x:c r="O5" s="156">
        <x:f t="shared" si="1"/>
        <x:v>45677</x:v>
      </x:c>
      <x:c r="P5" s="156">
        <x:f t="shared" si="1"/>
        <x:v>45684</x:v>
      </x:c>
      <x:c r="Q5" s="156">
        <x:f t="shared" si="1"/>
        <x:v>45691</x:v>
      </x:c>
      <x:c r="R5" s="156">
        <x:f t="shared" si="1"/>
        <x:v>45698</x:v>
      </x:c>
      <x:c r="S5" s="156">
        <x:f t="shared" si="1"/>
        <x:v>45705</x:v>
      </x:c>
      <x:c r="T5" s="156">
        <x:f t="shared" si="1"/>
        <x:v>45712</x:v>
      </x:c>
      <x:c r="U5" s="156">
        <x:f t="shared" si="1"/>
        <x:v>45719</x:v>
      </x:c>
      <x:c r="V5" s="156">
        <x:f t="shared" si="1"/>
        <x:v>45726</x:v>
      </x:c>
      <x:c r="W5" s="156">
        <x:f t="shared" si="1"/>
        <x:v>45733</x:v>
      </x:c>
      <x:c r="X5" s="156">
        <x:f t="shared" si="1"/>
        <x:v>45740</x:v>
      </x:c>
      <x:c r="Y5" s="156">
        <x:f t="shared" si="1"/>
        <x:v>45747</x:v>
      </x:c>
      <x:c r="Z5" s="156">
        <x:f t="shared" si="1"/>
        <x:v>45754</x:v>
      </x:c>
      <x:c r="AA5" s="156">
        <x:f t="shared" si="1"/>
        <x:v>45761</x:v>
      </x:c>
      <x:c r="AB5" s="156">
        <x:f t="shared" si="1"/>
        <x:v>45768</x:v>
      </x:c>
      <x:c r="AC5" s="156">
        <x:f t="shared" si="1"/>
        <x:v>45775</x:v>
      </x:c>
      <x:c r="AD5" s="156">
        <x:f t="shared" si="1"/>
        <x:v>45782</x:v>
      </x:c>
      <x:c r="AE5" s="156">
        <x:f t="shared" si="1"/>
        <x:v>45789</x:v>
      </x:c>
      <x:c r="AF5" s="156">
        <x:f t="shared" si="1"/>
        <x:v>45796</x:v>
      </x:c>
      <x:c r="AG5" s="156">
        <x:f t="shared" si="1"/>
        <x:v>45803</x:v>
      </x:c>
      <x:c r="AH5" s="156">
        <x:f t="shared" si="1"/>
        <x:v>45810</x:v>
      </x:c>
      <x:c r="AI5" s="156">
        <x:f t="shared" si="1"/>
        <x:v>45817</x:v>
      </x:c>
      <x:c r="AJ5" s="156">
        <x:f t="shared" si="1"/>
        <x:v>45824</x:v>
      </x:c>
      <x:c r="AK5" s="156">
        <x:f t="shared" si="1"/>
        <x:v>45831</x:v>
      </x:c>
      <x:c r="AL5" s="156">
        <x:f t="shared" si="1"/>
        <x:v>45838</x:v>
      </x:c>
      <x:c r="AM5" s="156">
        <x:f t="shared" si="1"/>
        <x:v>45845</x:v>
      </x:c>
      <x:c r="AN5" s="156">
        <x:f t="shared" si="1"/>
        <x:v>45852</x:v>
      </x:c>
      <x:c r="AO5" s="156">
        <x:f t="shared" si="1"/>
        <x:v>45859</x:v>
      </x:c>
      <x:c r="AP5" s="156">
        <x:f t="shared" si="1"/>
        <x:v>45866</x:v>
      </x:c>
      <x:c r="AQ5" s="156">
        <x:f t="shared" si="1"/>
        <x:v>45873</x:v>
      </x:c>
      <x:c r="AR5" s="156">
        <x:f t="shared" si="1"/>
        <x:v>45880</x:v>
      </x:c>
      <x:c r="AS5" s="156">
        <x:f t="shared" si="1"/>
        <x:v>45887</x:v>
      </x:c>
      <x:c r="AT5" s="156">
        <x:f t="shared" si="1"/>
        <x:v>45894</x:v>
      </x:c>
      <x:c r="AU5" s="156">
        <x:f t="shared" si="1"/>
        <x:v>45901</x:v>
      </x:c>
      <x:c r="AV5" s="156">
        <x:f t="shared" si="1"/>
        <x:v>45908</x:v>
      </x:c>
      <x:c r="AW5" s="156">
        <x:f t="shared" si="1"/>
        <x:v>45915</x:v>
      </x:c>
      <x:c r="AX5" s="156">
        <x:f t="shared" si="1"/>
        <x:v>45922</x:v>
      </x:c>
      <x:c r="AY5" s="156">
        <x:f t="shared" si="1"/>
        <x:v>45929</x:v>
      </x:c>
      <x:c r="AZ5" s="156">
        <x:f t="shared" si="1"/>
        <x:v>45936</x:v>
      </x:c>
      <x:c r="BA5" s="156">
        <x:f t="shared" si="1"/>
        <x:v>45943</x:v>
      </x:c>
      <x:c r="BB5" s="156">
        <x:f t="shared" si="1"/>
        <x:v>45950</x:v>
      </x:c>
      <x:c r="BC5" s="156">
        <x:f t="shared" si="1"/>
        <x:v>45957</x:v>
      </x:c>
      <x:c r="BD5" s="156">
        <x:f t="shared" si="1"/>
        <x:v>45964</x:v>
      </x:c>
      <x:c r="BE5" s="156">
        <x:f t="shared" si="1"/>
        <x:v>45971</x:v>
      </x:c>
      <x:c r="BF5" s="156">
        <x:f t="shared" si="1"/>
        <x:v>45978</x:v>
      </x:c>
      <x:c r="BG5" s="156">
        <x:f t="shared" si="1"/>
        <x:v>45985</x:v>
      </x:c>
      <x:c r="BH5" s="156">
        <x:f t="shared" si="1"/>
        <x:v>45992</x:v>
      </x:c>
      <x:c r="BI5" s="156">
        <x:f t="shared" si="1"/>
        <x:v>45999</x:v>
      </x:c>
      <x:c r="BJ5" s="156">
        <x:f t="shared" si="1"/>
        <x:v>46006</x:v>
      </x:c>
      <x:c r="BK5" s="156">
        <x:f t="shared" si="1"/>
        <x:v>46013</x:v>
      </x:c>
      <x:c r="BL5" s="156">
        <x:f t="shared" si="1"/>
        <x:v>46020</x:v>
      </x:c>
      <x:c r="BM5" s="156">
        <x:f t="shared" si="1"/>
        <x:v>46027</x:v>
      </x:c>
      <x:c r="BN5" s="156">
        <x:f t="shared" si="1"/>
        <x:v>46034</x:v>
      </x:c>
      <x:c r="BO5" s="156">
        <x:f t="shared" si="1"/>
        <x:v>46041</x:v>
      </x:c>
    </x:row>
    <x:row r="6" ht="45" customHeight="1">
      <x:c r="A6" s="145"/>
      <x:c r="J6" s="147"/>
      <x:c r="K6" s="145"/>
      <x:c r="L6" s="145"/>
      <x:c r="M6" s="157" t="str">
        <x:f t="shared" ref="M6:BO6" si="2">DAY(M5)&amp;CHAR(10)&amp;LEFT(TEXT(M5,"mmm"),3)&amp;CHAR(10)&amp;"'"&amp;RIGHT(YEAR(M5),2)</x:f>
        <x:v>14
Jul
'26</x:v>
      </x:c>
      <x:c r="N6" s="157" t="str">
        <x:f t="shared" si="2"/>
        <x:v>13
thg
'25</x:v>
      </x:c>
      <x:c r="O6" s="157" t="str">
        <x:f t="shared" si="2"/>
        <x:v>20
thg
'25</x:v>
      </x:c>
      <x:c r="P6" s="157" t="str">
        <x:f t="shared" si="2"/>
        <x:v>27
thg
'25</x:v>
      </x:c>
      <x:c r="Q6" s="157" t="str">
        <x:f t="shared" si="2"/>
        <x:v>3
thg
'25</x:v>
      </x:c>
      <x:c r="R6" s="157" t="str">
        <x:f t="shared" si="2"/>
        <x:v>10
thg
'25</x:v>
      </x:c>
      <x:c r="S6" s="157" t="str">
        <x:f t="shared" si="2"/>
        <x:v>17
thg
'25</x:v>
      </x:c>
      <x:c r="T6" s="157" t="str">
        <x:f t="shared" si="2"/>
        <x:v>24
thg
'25</x:v>
      </x:c>
      <x:c r="U6" s="157" t="str">
        <x:f t="shared" si="2"/>
        <x:v>3
thg
'25</x:v>
      </x:c>
      <x:c r="V6" s="157" t="str">
        <x:f t="shared" si="2"/>
        <x:v>10
thg
'25</x:v>
      </x:c>
      <x:c r="W6" s="157" t="str">
        <x:f t="shared" si="2"/>
        <x:v>17
thg
'25</x:v>
      </x:c>
      <x:c r="X6" s="157" t="str">
        <x:f t="shared" si="2"/>
        <x:v>24
thg
'25</x:v>
      </x:c>
      <x:c r="Y6" s="157" t="str">
        <x:f t="shared" si="2"/>
        <x:v>31
thg
'25</x:v>
      </x:c>
      <x:c r="Z6" s="157" t="str">
        <x:f t="shared" si="2"/>
        <x:v>7
thg
'25</x:v>
      </x:c>
      <x:c r="AA6" s="157" t="str">
        <x:f t="shared" si="2"/>
        <x:v>14
thg
'25</x:v>
      </x:c>
      <x:c r="AB6" s="157" t="str">
        <x:f t="shared" si="2"/>
        <x:v>21
thg
'25</x:v>
      </x:c>
      <x:c r="AC6" s="157" t="str">
        <x:f t="shared" si="2"/>
        <x:v>28
thg
'25</x:v>
      </x:c>
      <x:c r="AD6" s="157" t="str">
        <x:f t="shared" si="2"/>
        <x:v>5
thg
'25</x:v>
      </x:c>
      <x:c r="AE6" s="157" t="str">
        <x:f t="shared" si="2"/>
        <x:v>12
thg
'25</x:v>
      </x:c>
      <x:c r="AF6" s="157" t="str">
        <x:f t="shared" si="2"/>
        <x:v>19
thg
'25</x:v>
      </x:c>
      <x:c r="AG6" s="157" t="str">
        <x:f t="shared" si="2"/>
        <x:v>26
thg
'25</x:v>
      </x:c>
      <x:c r="AH6" s="157" t="str">
        <x:f t="shared" si="2"/>
        <x:v>2
thg
'25</x:v>
      </x:c>
      <x:c r="AI6" s="157" t="str">
        <x:f t="shared" si="2"/>
        <x:v>9
thg
'25</x:v>
      </x:c>
      <x:c r="AJ6" s="157" t="str">
        <x:f t="shared" si="2"/>
        <x:v>16
thg
'25</x:v>
      </x:c>
      <x:c r="AK6" s="157" t="str">
        <x:f t="shared" si="2"/>
        <x:v>23
thg
'25</x:v>
      </x:c>
      <x:c r="AL6" s="157" t="str">
        <x:f t="shared" si="2"/>
        <x:v>30
thg
'25</x:v>
      </x:c>
      <x:c r="AM6" s="157" t="str">
        <x:f t="shared" si="2"/>
        <x:v>7
thg
'25</x:v>
      </x:c>
      <x:c r="AN6" s="157" t="str">
        <x:f t="shared" si="2"/>
        <x:v>14
thg
'25</x:v>
      </x:c>
      <x:c r="AO6" s="157" t="str">
        <x:f t="shared" si="2"/>
        <x:v>21
thg
'25</x:v>
      </x:c>
      <x:c r="AP6" s="157" t="str">
        <x:f t="shared" si="2"/>
        <x:v>28
thg
'25</x:v>
      </x:c>
      <x:c r="AQ6" s="157" t="str">
        <x:f t="shared" si="2"/>
        <x:v>4
thg
'25</x:v>
      </x:c>
      <x:c r="AR6" s="157" t="str">
        <x:f t="shared" si="2"/>
        <x:v>11
thg
'25</x:v>
      </x:c>
      <x:c r="AS6" s="157" t="str">
        <x:f t="shared" si="2"/>
        <x:v>18
thg
'25</x:v>
      </x:c>
      <x:c r="AT6" s="157" t="str">
        <x:f t="shared" si="2"/>
        <x:v>25
thg
'25</x:v>
      </x:c>
      <x:c r="AU6" s="157" t="str">
        <x:f t="shared" si="2"/>
        <x:v>1
thg
'25</x:v>
      </x:c>
      <x:c r="AV6" s="157" t="str">
        <x:f t="shared" si="2"/>
        <x:v>8
thg
'25</x:v>
      </x:c>
      <x:c r="AW6" s="157" t="str">
        <x:f t="shared" si="2"/>
        <x:v>15
thg
'25</x:v>
      </x:c>
      <x:c r="AX6" s="157" t="str">
        <x:f t="shared" si="2"/>
        <x:v>22
thg
'25</x:v>
      </x:c>
      <x:c r="AY6" s="157" t="str">
        <x:f t="shared" si="2"/>
        <x:v>29
thg
'25</x:v>
      </x:c>
      <x:c r="AZ6" s="157" t="str">
        <x:f t="shared" si="2"/>
        <x:v>6
thg
'25</x:v>
      </x:c>
      <x:c r="BA6" s="157" t="str">
        <x:f t="shared" si="2"/>
        <x:v>13
thg
'25</x:v>
      </x:c>
      <x:c r="BB6" s="157" t="str">
        <x:f t="shared" si="2"/>
        <x:v>20
thg
'25</x:v>
      </x:c>
      <x:c r="BC6" s="157" t="str">
        <x:f t="shared" si="2"/>
        <x:v>27
thg
'25</x:v>
      </x:c>
      <x:c r="BD6" s="157" t="str">
        <x:f t="shared" si="2"/>
        <x:v>3
thg
'25</x:v>
      </x:c>
      <x:c r="BE6" s="157" t="str">
        <x:f t="shared" si="2"/>
        <x:v>10
thg
'25</x:v>
      </x:c>
      <x:c r="BF6" s="157" t="str">
        <x:f t="shared" si="2"/>
        <x:v>17
thg
'25</x:v>
      </x:c>
      <x:c r="BG6" s="157" t="str">
        <x:f t="shared" si="2"/>
        <x:v>24
thg
'25</x:v>
      </x:c>
      <x:c r="BH6" s="157" t="str">
        <x:f t="shared" si="2"/>
        <x:v>1
thg
'25</x:v>
      </x:c>
      <x:c r="BI6" s="157" t="str">
        <x:f t="shared" si="2"/>
        <x:v>8
thg
'25</x:v>
      </x:c>
      <x:c r="BJ6" s="157" t="str">
        <x:f t="shared" si="2"/>
        <x:v>15
thg
'25</x:v>
      </x:c>
      <x:c r="BK6" s="157" t="str">
        <x:f t="shared" si="2"/>
        <x:v>22
thg
'25</x:v>
      </x:c>
      <x:c r="BL6" s="157" t="str">
        <x:f t="shared" si="2"/>
        <x:v>29
thg
'25</x:v>
      </x:c>
      <x:c r="BM6" s="157" t="str">
        <x:f t="shared" si="2"/>
        <x:v>5
thg
'26</x:v>
      </x:c>
      <x:c r="BN6" s="157" t="str">
        <x:f t="shared" si="2"/>
        <x:v>12
thg
'26</x:v>
      </x:c>
      <x:c r="BO6" s="157" t="str">
        <x:f t="shared" si="2"/>
        <x:v>19
thg
'26</x:v>
      </x:c>
    </x:row>
    <x:row r="7" ht="13.5" customHeight="1">
      <x:c r="A7" s="158" t="str">
        <x:v>STT</x:v>
      </x:c>
      <x:c r="B7" s="159" t="str">
        <x:v>Công việc</x:v>
      </x:c>
      <x:c r="C7" s="159" t="str">
        <x:v>Tóm tắt nội dung</x:v>
      </x:c>
      <x:c r="D7" s="160" t="str">
        <x:v>Phụ trách</x:v>
      </x:c>
      <x:c r="E7" s="160" t="str">
        <x:v>Phối hợp</x:v>
      </x:c>
      <x:c r="F7" s="160" t="str">
        <x:v>Tiến độ</x:v>
      </x:c>
      <x:c r="G7" s="161" t="str">
        <x:v>Kế hoạch Bắt đầu</x:v>
      </x:c>
      <x:c r="H7" s="161" t="str">
        <x:v>Kế hoạch Kết thúc</x:v>
      </x:c>
      <x:c r="I7" s="161" t="str">
        <x:v>Kế hoạch Số ngày</x:v>
      </x:c>
      <x:c r="J7" s="160" t="str">
        <x:v>Thực tế Bắt đầu</x:v>
      </x:c>
      <x:c r="K7" s="160" t="str">
        <x:v>Thực tế Kết thúc</x:v>
      </x:c>
      <x:c r="L7" s="160" t="str">
        <x:v>Thực tế Số ngày</x:v>
      </x:c>
      <x:c r="M7" s="162" t="n">
        <x:f>G5</x:f>
        <x:v>1</x:v>
      </x:c>
      <x:c r="N7" s="162" t="n">
        <x:f t="shared" ref="N7:BO7" si="3">M7+1</x:f>
        <x:v>2</x:v>
      </x:c>
      <x:c r="O7" s="162">
        <x:f t="shared" si="3"/>
        <x:v>23</x:v>
      </x:c>
      <x:c r="P7" s="162">
        <x:f t="shared" si="3"/>
        <x:v>24</x:v>
      </x:c>
      <x:c r="Q7" s="162">
        <x:f t="shared" si="3"/>
        <x:v>25</x:v>
      </x:c>
      <x:c r="R7" s="162">
        <x:f t="shared" si="3"/>
        <x:v>26</x:v>
      </x:c>
      <x:c r="S7" s="162">
        <x:f t="shared" si="3"/>
        <x:v>27</x:v>
      </x:c>
      <x:c r="T7" s="162">
        <x:f t="shared" si="3"/>
        <x:v>28</x:v>
      </x:c>
      <x:c r="U7" s="162">
        <x:f t="shared" si="3"/>
        <x:v>29</x:v>
      </x:c>
      <x:c r="V7" s="162">
        <x:f t="shared" si="3"/>
        <x:v>30</x:v>
      </x:c>
      <x:c r="W7" s="162">
        <x:f t="shared" si="3"/>
        <x:v>31</x:v>
      </x:c>
      <x:c r="X7" s="162">
        <x:f t="shared" si="3"/>
        <x:v>32</x:v>
      </x:c>
      <x:c r="Y7" s="162">
        <x:f t="shared" si="3"/>
        <x:v>33</x:v>
      </x:c>
      <x:c r="Z7" s="162">
        <x:f t="shared" si="3"/>
        <x:v>34</x:v>
      </x:c>
      <x:c r="AA7" s="162">
        <x:f t="shared" si="3"/>
        <x:v>35</x:v>
      </x:c>
      <x:c r="AB7" s="162">
        <x:f t="shared" si="3"/>
        <x:v>36</x:v>
      </x:c>
      <x:c r="AC7" s="162">
        <x:f t="shared" si="3"/>
        <x:v>37</x:v>
      </x:c>
      <x:c r="AD7" s="162">
        <x:f t="shared" si="3"/>
        <x:v>38</x:v>
      </x:c>
      <x:c r="AE7" s="162">
        <x:f t="shared" si="3"/>
        <x:v>39</x:v>
      </x:c>
      <x:c r="AF7" s="162">
        <x:f t="shared" si="3"/>
        <x:v>40</x:v>
      </x:c>
      <x:c r="AG7" s="162">
        <x:f t="shared" si="3"/>
        <x:v>41</x:v>
      </x:c>
      <x:c r="AH7" s="162">
        <x:f t="shared" si="3"/>
        <x:v>42</x:v>
      </x:c>
      <x:c r="AI7" s="162">
        <x:f t="shared" si="3"/>
        <x:v>43</x:v>
      </x:c>
      <x:c r="AJ7" s="162">
        <x:f t="shared" si="3"/>
        <x:v>44</x:v>
      </x:c>
      <x:c r="AK7" s="162">
        <x:f t="shared" si="3"/>
        <x:v>45</x:v>
      </x:c>
      <x:c r="AL7" s="162">
        <x:f t="shared" si="3"/>
        <x:v>46</x:v>
      </x:c>
      <x:c r="AM7" s="162">
        <x:f t="shared" si="3"/>
        <x:v>47</x:v>
      </x:c>
      <x:c r="AN7" s="162">
        <x:f t="shared" si="3"/>
        <x:v>48</x:v>
      </x:c>
      <x:c r="AO7" s="162">
        <x:f t="shared" si="3"/>
        <x:v>49</x:v>
      </x:c>
      <x:c r="AP7" s="162">
        <x:f t="shared" si="3"/>
        <x:v>50</x:v>
      </x:c>
      <x:c r="AQ7" s="162">
        <x:f t="shared" si="3"/>
        <x:v>51</x:v>
      </x:c>
      <x:c r="AR7" s="162">
        <x:f t="shared" si="3"/>
        <x:v>52</x:v>
      </x:c>
      <x:c r="AS7" s="162">
        <x:f t="shared" si="3"/>
        <x:v>53</x:v>
      </x:c>
      <x:c r="AT7" s="162">
        <x:f t="shared" si="3"/>
        <x:v>54</x:v>
      </x:c>
      <x:c r="AU7" s="162">
        <x:f t="shared" si="3"/>
        <x:v>55</x:v>
      </x:c>
      <x:c r="AV7" s="162">
        <x:f t="shared" si="3"/>
        <x:v>56</x:v>
      </x:c>
      <x:c r="AW7" s="162">
        <x:f t="shared" si="3"/>
        <x:v>57</x:v>
      </x:c>
      <x:c r="AX7" s="162">
        <x:f t="shared" si="3"/>
        <x:v>58</x:v>
      </x:c>
      <x:c r="AY7" s="162">
        <x:f t="shared" si="3"/>
        <x:v>59</x:v>
      </x:c>
      <x:c r="AZ7" s="162">
        <x:f t="shared" si="3"/>
        <x:v>60</x:v>
      </x:c>
      <x:c r="BA7" s="162">
        <x:f t="shared" si="3"/>
        <x:v>61</x:v>
      </x:c>
      <x:c r="BB7" s="162">
        <x:f t="shared" si="3"/>
        <x:v>62</x:v>
      </x:c>
      <x:c r="BC7" s="162">
        <x:f t="shared" si="3"/>
        <x:v>63</x:v>
      </x:c>
      <x:c r="BD7" s="162">
        <x:f t="shared" si="3"/>
        <x:v>64</x:v>
      </x:c>
      <x:c r="BE7" s="162">
        <x:f t="shared" si="3"/>
        <x:v>65</x:v>
      </x:c>
      <x:c r="BF7" s="162">
        <x:f t="shared" si="3"/>
        <x:v>66</x:v>
      </x:c>
      <x:c r="BG7" s="162">
        <x:f t="shared" si="3"/>
        <x:v>67</x:v>
      </x:c>
      <x:c r="BH7" s="162">
        <x:f t="shared" si="3"/>
        <x:v>68</x:v>
      </x:c>
      <x:c r="BI7" s="162">
        <x:f t="shared" si="3"/>
        <x:v>69</x:v>
      </x:c>
      <x:c r="BJ7" s="162">
        <x:f t="shared" si="3"/>
        <x:v>70</x:v>
      </x:c>
      <x:c r="BK7" s="162">
        <x:f t="shared" si="3"/>
        <x:v>71</x:v>
      </x:c>
      <x:c r="BL7" s="162">
        <x:f t="shared" si="3"/>
        <x:v>72</x:v>
      </x:c>
      <x:c r="BM7" s="162">
        <x:f t="shared" si="3"/>
        <x:v>73</x:v>
      </x:c>
      <x:c r="BN7" s="162">
        <x:f t="shared" si="3"/>
        <x:v>74</x:v>
      </x:c>
      <x:c r="BO7" s="162">
        <x:f t="shared" si="3"/>
        <x:v>75</x:v>
      </x:c>
    </x:row>
    <x:row r="8" ht="13.5" customHeight="1">
      <x:c r="A8" s="163" t="str">
        <x:v>I</x:v>
      </x:c>
      <x:c r="B8" s="439" t="str">
        <x:v>KHỞI TẠO VÀ PHÂN TÍCH</x:v>
      </x:c>
      <x:c r="C8" s="439" t="str">
        <x:v>Phạm vi, yêu cầu và kiến trúc</x:v>
      </x:c>
      <x:c r="D8" s="163" t="str">
        <x:v>PM</x:v>
      </x:c>
      <x:c r="E8" s="163" t="str">
        <x:v>Các bên liên quan</x:v>
      </x:c>
      <x:c r="F8" s="430" t="n">
        <x:v>1</x:v>
      </x:c>
      <x:c r="G8" s="433" t="n">
        <x:v>46217</x:v>
      </x:c>
      <x:c r="H8" s="433" t="n">
        <x:v>46227</x:v>
      </x:c>
      <x:c r="I8" s="163" t="n">
        <x:f t="shared" ref="I8:I9" si="4">IF(OR(ISBLANK(G8),ISBLANK(H8)),"",H8-G8+1)</x:f>
        <x:v>11</x:v>
      </x:c>
      <x:c r="J8" s="433"/>
      <x:c r="K8" s="433"/>
      <x:c r="L8" s="163" t="str">
        <x:f t="shared" ref="L8:L11" si="5">IF(OR(ISBLANK(J8),ISBLANK(K8)),"",K8-J8+1)</x:f>
      </x:c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  <x:c r="Y8" s="167"/>
      <x:c r="Z8" s="167"/>
      <x:c r="AA8" s="167"/>
      <x:c r="AB8" s="167"/>
      <x:c r="AC8" s="167"/>
      <x:c r="AD8" s="167"/>
      <x:c r="AE8" s="167"/>
      <x:c r="AF8" s="167"/>
      <x:c r="AG8" s="167"/>
      <x:c r="AH8" s="167"/>
      <x:c r="AI8" s="167"/>
      <x:c r="AJ8" s="167"/>
      <x:c r="AK8" s="167"/>
      <x:c r="AL8" s="167"/>
      <x:c r="AM8" s="167"/>
      <x:c r="AN8" s="167"/>
      <x:c r="AO8" s="167"/>
      <x:c r="AP8" s="167"/>
      <x:c r="AQ8" s="167"/>
      <x:c r="AR8" s="167"/>
      <x:c r="AS8" s="167"/>
      <x:c r="AT8" s="167"/>
      <x:c r="AU8" s="167"/>
      <x:c r="AV8" s="167"/>
      <x:c r="AW8" s="167"/>
      <x:c r="AX8" s="167"/>
      <x:c r="AY8" s="167"/>
      <x:c r="AZ8" s="167"/>
      <x:c r="BA8" s="167"/>
      <x:c r="BB8" s="167"/>
      <x:c r="BC8" s="167"/>
      <x:c r="BD8" s="167"/>
      <x:c r="BE8" s="167"/>
      <x:c r="BF8" s="167"/>
      <x:c r="BG8" s="167"/>
      <x:c r="BH8" s="167"/>
      <x:c r="BI8" s="167"/>
      <x:c r="BJ8" s="167"/>
      <x:c r="BK8" s="167"/>
      <x:c r="BL8" s="167"/>
      <x:c r="BM8" s="167"/>
      <x:c r="BN8" s="167"/>
      <x:c r="BO8" s="168"/>
      <x:c r="BP8" s="19"/>
      <x:c r="BQ8" s="19"/>
      <x:c r="BR8" s="19"/>
      <x:c r="BS8" s="19"/>
      <x:c r="BT8" s="19"/>
      <x:c r="BU8" s="19"/>
      <x:c r="BV8" s="19"/>
      <x:c r="BW8" s="19"/>
      <x:c r="BX8" s="19"/>
      <x:c r="BY8" s="19"/>
      <x:c r="BZ8" s="19"/>
      <x:c r="CA8" s="19"/>
      <x:c r="CB8" s="19"/>
    </x:row>
    <x:row r="9" ht="15" customHeight="1">
      <x:c r="A9" s="169" t="n">
        <x:v>1</x:v>
      </x:c>
      <x:c r="B9" s="440" t="str">
        <x:v>Khởi động dự án</x:v>
      </x:c>
      <x:c r="C9" s="441" t="str">
        <x:v>Thống nhất mục tiêu, phạm vi và cách làm việc</x:v>
      </x:c>
      <x:c r="D9" s="169" t="str">
        <x:v>PM</x:v>
      </x:c>
      <x:c r="E9" s="169" t="str">
        <x:v>Product Owner</x:v>
      </x:c>
      <x:c r="F9" s="431" t="n">
        <x:v>1</x:v>
      </x:c>
      <x:c r="G9" s="434" t="n">
        <x:v>46217</x:v>
      </x:c>
      <x:c r="H9" s="434" t="n">
        <x:v>46217</x:v>
      </x:c>
      <x:c r="I9" s="174" t="n">
        <x:f t="shared" si="4">IF(OR(ISBLANK(G9),ISBLANK(H9)),"",H9-G9+1)</x:f>
        <x:v>1</x:v>
      </x:c>
      <x:c r="J9" s="434"/>
      <x:c r="K9" s="434"/>
      <x:c r="L9" s="174" t="str">
        <x:f t="shared" si="5">IF(OR(ISBLANK(J9),ISBLANK(K9)),"",K9-J9+1)</x:f>
      </x:c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  <x:c r="Y9" s="167"/>
      <x:c r="Z9" s="167"/>
      <x:c r="AA9" s="167"/>
      <x:c r="AB9" s="167"/>
      <x:c r="AC9" s="167"/>
      <x:c r="AD9" s="167"/>
      <x:c r="AE9" s="167"/>
      <x:c r="AF9" s="167"/>
      <x:c r="AG9" s="167"/>
      <x:c r="AH9" s="167"/>
      <x:c r="AI9" s="167"/>
      <x:c r="AJ9" s="167"/>
      <x:c r="AK9" s="167"/>
      <x:c r="AL9" s="167"/>
      <x:c r="AM9" s="167"/>
      <x:c r="AN9" s="167"/>
      <x:c r="AO9" s="167"/>
      <x:c r="AP9" s="167"/>
      <x:c r="AQ9" s="167"/>
      <x:c r="AR9" s="167"/>
      <x:c r="AS9" s="167"/>
      <x:c r="AT9" s="167"/>
      <x:c r="AU9" s="167"/>
      <x:c r="AV9" s="167"/>
      <x:c r="AW9" s="167"/>
      <x:c r="AX9" s="167"/>
      <x:c r="AY9" s="167"/>
      <x:c r="AZ9" s="167"/>
      <x:c r="BA9" s="167"/>
      <x:c r="BB9" s="167"/>
      <x:c r="BC9" s="167"/>
      <x:c r="BD9" s="167"/>
      <x:c r="BE9" s="167"/>
      <x:c r="BF9" s="167"/>
      <x:c r="BG9" s="167"/>
      <x:c r="BH9" s="167"/>
      <x:c r="BI9" s="167"/>
      <x:c r="BJ9" s="167"/>
      <x:c r="BK9" s="167"/>
      <x:c r="BL9" s="167"/>
      <x:c r="BM9" s="167"/>
      <x:c r="BN9" s="167"/>
      <x:c r="BO9" s="168"/>
      <x:c r="BP9" s="175"/>
      <x:c r="BQ9" s="175"/>
      <x:c r="BR9" s="175"/>
      <x:c r="BS9" s="175"/>
      <x:c r="BT9" s="175"/>
      <x:c r="BU9" s="175"/>
      <x:c r="BV9" s="175"/>
      <x:c r="BW9" s="175"/>
      <x:c r="BX9" s="175"/>
      <x:c r="BY9" s="175"/>
      <x:c r="BZ9" s="175"/>
      <x:c r="CA9" s="175"/>
      <x:c r="CB9" s="175"/>
    </x:row>
    <x:row r="10" ht="13.5" customHeight="1">
      <x:c r="A10" s="176" t="n">
        <x:v>2</x:v>
      </x:c>
      <x:c r="B10" s="442" t="str">
        <x:v>Phân tích quy trình kho F&amp;B</x:v>
      </x:c>
      <x:c r="C10" s="442" t="str">
        <x:v>Nhập/xuất, FEFO, hao hụt và cảnh báo</x:v>
      </x:c>
      <x:c r="D10" s="176" t="str">
        <x:v>BA</x:v>
      </x:c>
      <x:c r="E10" s="176" t="str">
        <x:v>PM, vận hành</x:v>
      </x:c>
      <x:c r="F10" s="432" t="n">
        <x:v>0.8</x:v>
      </x:c>
      <x:c r="G10" s="435" t="n">
        <x:v>46217</x:v>
      </x:c>
      <x:c r="H10" s="435" t="n">
        <x:v>46223</x:v>
      </x:c>
      <x:c r="I10" s="180" t="n">
        <x:f>IF(OR(ISBLANK(G10),ISBLANK(H10)),"",H10-G10+1)</x:f>
        <x:v>7</x:v>
      </x:c>
      <x:c r="J10" s="435"/>
      <x:c r="K10" s="435"/>
      <x:c r="L10" s="180" t="str">
        <x:f t="shared" si="5">IF(OR(ISBLANK(J10),ISBLANK(K10)),"",K10-J10+1)</x:f>
      </x:c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  <x:c r="Y10" s="167"/>
      <x:c r="Z10" s="167"/>
      <x:c r="AA10" s="167"/>
      <x:c r="AB10" s="167"/>
      <x:c r="AC10" s="167"/>
      <x:c r="AD10" s="167"/>
      <x:c r="AE10" s="167"/>
      <x:c r="AF10" s="167"/>
      <x:c r="AG10" s="167"/>
      <x:c r="AH10" s="167"/>
      <x:c r="AI10" s="167"/>
      <x:c r="AJ10" s="167"/>
      <x:c r="AK10" s="167"/>
      <x:c r="AL10" s="167"/>
      <x:c r="AM10" s="167"/>
      <x:c r="AN10" s="167"/>
      <x:c r="AO10" s="167"/>
      <x:c r="AP10" s="167"/>
      <x:c r="AQ10" s="167"/>
      <x:c r="AR10" s="167"/>
      <x:c r="AS10" s="167"/>
      <x:c r="AT10" s="167"/>
      <x:c r="AU10" s="167"/>
      <x:c r="AV10" s="167"/>
      <x:c r="AW10" s="167"/>
      <x:c r="AX10" s="167"/>
      <x:c r="AY10" s="167"/>
      <x:c r="AZ10" s="167"/>
      <x:c r="BA10" s="167"/>
      <x:c r="BB10" s="167"/>
      <x:c r="BC10" s="167"/>
      <x:c r="BD10" s="167"/>
      <x:c r="BE10" s="167"/>
      <x:c r="BF10" s="167"/>
      <x:c r="BG10" s="167"/>
      <x:c r="BH10" s="167"/>
      <x:c r="BI10" s="167"/>
      <x:c r="BJ10" s="167"/>
      <x:c r="BK10" s="167"/>
      <x:c r="BL10" s="167"/>
      <x:c r="BM10" s="167"/>
      <x:c r="BN10" s="167"/>
      <x:c r="BO10" s="168"/>
      <x:c r="BP10" s="175"/>
      <x:c r="BQ10" s="175"/>
      <x:c r="BR10" s="175"/>
      <x:c r="BS10" s="175"/>
      <x:c r="BT10" s="175"/>
      <x:c r="BU10" s="175"/>
      <x:c r="BV10" s="175"/>
      <x:c r="BW10" s="175"/>
      <x:c r="BX10" s="175"/>
      <x:c r="BY10" s="175"/>
      <x:c r="BZ10" s="175"/>
      <x:c r="CA10" s="175"/>
      <x:c r="CB10" s="175"/>
    </x:row>
    <x:row r="11" ht="13.5" customHeight="1">
      <x:c r="A11" s="176" t="n">
        <x:v>3</x:v>
      </x:c>
      <x:c r="B11" s="442" t="str">
        <x:v>Hoàn thiện SRS và backlog</x:v>
      </x:c>
      <x:c r="C11" s="442" t="str">
        <x:v>Yêu cầu chức năng, phi chức năng, acceptance criteria</x:v>
      </x:c>
      <x:c r="D11" s="176" t="str">
        <x:v>BA</x:v>
      </x:c>
      <x:c r="E11" s="176" t="str">
        <x:v>Tech Lead</x:v>
      </x:c>
      <x:c r="F11" s="432" t="n">
        <x:v>0.7</x:v>
      </x:c>
      <x:c r="G11" s="435" t="n">
        <x:v>46220</x:v>
      </x:c>
      <x:c r="H11" s="435" t="n">
        <x:v>46226</x:v>
      </x:c>
      <x:c r="I11" s="180" t="n">
        <x:f>IF(OR(ISBLANK(G11),ISBLANK(H11)),"",H11-G11+1)</x:f>
        <x:v>7</x:v>
      </x:c>
      <x:c r="J11" s="435"/>
      <x:c r="K11" s="435"/>
      <x:c r="L11" s="180" t="str">
        <x:f t="shared" si="5">IF(OR(ISBLANK(J11),ISBLANK(K11)),"",K11-J11+1)</x:f>
      </x:c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  <x:c r="Y11" s="167"/>
      <x:c r="Z11" s="167"/>
      <x:c r="AA11" s="167"/>
      <x:c r="AB11" s="167"/>
      <x:c r="AC11" s="167"/>
      <x:c r="AD11" s="167"/>
      <x:c r="AE11" s="167"/>
      <x:c r="AF11" s="167"/>
      <x:c r="AG11" s="167"/>
      <x:c r="AH11" s="167"/>
      <x:c r="AI11" s="167"/>
      <x:c r="AJ11" s="167"/>
      <x:c r="AK11" s="167"/>
      <x:c r="AL11" s="167"/>
      <x:c r="AM11" s="167"/>
      <x:c r="AN11" s="167"/>
      <x:c r="AO11" s="167"/>
      <x:c r="AP11" s="167"/>
      <x:c r="AQ11" s="167"/>
      <x:c r="AR11" s="167"/>
      <x:c r="AS11" s="167"/>
      <x:c r="AT11" s="167"/>
      <x:c r="AU11" s="167"/>
      <x:c r="AV11" s="167"/>
      <x:c r="AW11" s="167"/>
      <x:c r="AX11" s="167"/>
      <x:c r="AY11" s="167"/>
      <x:c r="AZ11" s="167"/>
      <x:c r="BA11" s="167"/>
      <x:c r="BB11" s="167"/>
      <x:c r="BC11" s="167"/>
      <x:c r="BD11" s="167"/>
      <x:c r="BE11" s="167"/>
      <x:c r="BF11" s="167"/>
      <x:c r="BG11" s="167"/>
      <x:c r="BH11" s="167"/>
      <x:c r="BI11" s="167"/>
      <x:c r="BJ11" s="167"/>
      <x:c r="BK11" s="167"/>
      <x:c r="BL11" s="167"/>
      <x:c r="BM11" s="167"/>
      <x:c r="BN11" s="167"/>
      <x:c r="BO11" s="168"/>
      <x:c r="BP11" s="175"/>
      <x:c r="BQ11" s="175"/>
      <x:c r="BR11" s="175"/>
      <x:c r="BS11" s="175"/>
      <x:c r="BT11" s="175"/>
      <x:c r="BU11" s="175"/>
      <x:c r="BV11" s="175"/>
      <x:c r="BW11" s="175"/>
      <x:c r="BX11" s="175"/>
      <x:c r="BY11" s="175"/>
      <x:c r="BZ11" s="175"/>
      <x:c r="CA11" s="175"/>
      <x:c r="CB11" s="175"/>
    </x:row>
    <x:row r="12" ht="13.5" customHeight="1">
      <x:c r="A12" s="176" t="n">
        <x:v>4</x:v>
      </x:c>
      <x:c r="B12" s="442" t="str">
        <x:v>Thiết kế kiến trúc và CSDL</x:v>
      </x:c>
      <x:c r="C12" s="442" t="str">
        <x:v>Multi-tenant, API, schema, bảo mật</x:v>
      </x:c>
      <x:c r="D12" s="176" t="str">
        <x:v>Tech Lead</x:v>
      </x:c>
      <x:c r="E12" s="176" t="str">
        <x:v>Backend, DevOps</x:v>
      </x:c>
      <x:c r="F12" s="432" t="n">
        <x:v>0.6</x:v>
      </x:c>
      <x:c r="G12" s="435" t="n">
        <x:v>46223</x:v>
      </x:c>
      <x:c r="H12" s="435" t="n">
        <x:v>46227</x:v>
      </x:c>
      <x:c r="I12" s="180" t="n">
        <x:f>IF(OR(ISBLANK(G12),ISBLANK(H12)),"",H12-G12+1)</x:f>
        <x:v>5</x:v>
      </x:c>
      <x:c r="J12" s="435"/>
      <x:c r="K12" s="435"/>
      <x:c r="L12" s="180" t="str">
        <x:f>IF(OR(ISBLANK(J12),ISBLANK(K12)),"",K12-J12+1)</x:f>
      </x:c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  <x:c r="Y12" s="167"/>
      <x:c r="Z12" s="167"/>
      <x:c r="AA12" s="167"/>
      <x:c r="AB12" s="167"/>
      <x:c r="AC12" s="167"/>
      <x:c r="AD12" s="167"/>
      <x:c r="AE12" s="167"/>
      <x:c r="AF12" s="167"/>
      <x:c r="AG12" s="167"/>
      <x:c r="AH12" s="167"/>
      <x:c r="AI12" s="167"/>
      <x:c r="AJ12" s="167"/>
      <x:c r="AK12" s="167"/>
      <x:c r="AL12" s="167"/>
      <x:c r="AM12" s="167"/>
      <x:c r="AN12" s="167"/>
      <x:c r="AO12" s="167"/>
      <x:c r="AP12" s="167"/>
      <x:c r="AQ12" s="167"/>
      <x:c r="AR12" s="167"/>
      <x:c r="AS12" s="167"/>
      <x:c r="AT12" s="167"/>
      <x:c r="AU12" s="167"/>
      <x:c r="AV12" s="167"/>
      <x:c r="AW12" s="167"/>
      <x:c r="AX12" s="167"/>
      <x:c r="AY12" s="167"/>
      <x:c r="AZ12" s="167"/>
      <x:c r="BA12" s="167"/>
      <x:c r="BB12" s="167"/>
      <x:c r="BC12" s="167"/>
      <x:c r="BD12" s="167"/>
      <x:c r="BE12" s="167"/>
      <x:c r="BF12" s="167"/>
      <x:c r="BG12" s="167"/>
      <x:c r="BH12" s="167"/>
      <x:c r="BI12" s="167"/>
      <x:c r="BJ12" s="167"/>
      <x:c r="BK12" s="167"/>
      <x:c r="BL12" s="167"/>
      <x:c r="BM12" s="167"/>
      <x:c r="BN12" s="167"/>
      <x:c r="BO12" s="168"/>
      <x:c r="BP12" s="175"/>
      <x:c r="BQ12" s="175"/>
      <x:c r="BR12" s="175"/>
      <x:c r="BS12" s="175"/>
      <x:c r="BT12" s="175"/>
      <x:c r="BU12" s="175"/>
      <x:c r="BV12" s="175"/>
      <x:c r="BW12" s="175"/>
      <x:c r="BX12" s="175"/>
      <x:c r="BY12" s="175"/>
      <x:c r="BZ12" s="175"/>
      <x:c r="CA12" s="175"/>
      <x:c r="CB12" s="175"/>
    </x:row>
    <x:row r="13" ht="13.5" customHeight="1">
      <x:c r="A13" s="176" t="str">
        <x:v>II</x:v>
      </x:c>
      <x:c r="B13" s="442" t="str">
        <x:v>NỀN TẢNG &amp; BẢO MẬT</x:v>
      </x:c>
      <x:c r="C13" s="442" t="str">
        <x:v>Auth, tenant, store và phân quyền</x:v>
      </x:c>
      <x:c r="D13" s="176" t="str">
        <x:v>Tech Lead</x:v>
      </x:c>
      <x:c r="E13" s="176" t="str">
        <x:v>Backend, Frontend</x:v>
      </x:c>
      <x:c r="F13" s="432" t="n">
        <x:v>0.35</x:v>
      </x:c>
      <x:c r="G13" s="435" t="n">
        <x:v>46230</x:v>
      </x:c>
      <x:c r="H13" s="435" t="n">
        <x:v>46248</x:v>
      </x:c>
      <x:c r="I13" s="180" t="n">
        <x:f>IF(OR(ISBLANK(G13),ISBLANK(H13)),"",H13-G13+1)</x:f>
        <x:v>19</x:v>
      </x:c>
      <x:c r="J13" s="435"/>
      <x:c r="K13" s="435"/>
      <x:c r="L13" s="180" t="str">
        <x:f t="shared" ref="L13:L14" si="6">IF(OR(ISBLANK(J13),ISBLANK(K13)),"",K13-J13+1)</x:f>
      </x:c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  <x:c r="Y13" s="167"/>
      <x:c r="Z13" s="167"/>
      <x:c r="AA13" s="167"/>
      <x:c r="AB13" s="167"/>
      <x:c r="AC13" s="167"/>
      <x:c r="AD13" s="167"/>
      <x:c r="AE13" s="167"/>
      <x:c r="AF13" s="167"/>
      <x:c r="AG13" s="167"/>
      <x:c r="AH13" s="167"/>
      <x:c r="AI13" s="167"/>
      <x:c r="AJ13" s="167"/>
      <x:c r="AK13" s="167"/>
      <x:c r="AL13" s="167"/>
      <x:c r="AM13" s="167"/>
      <x:c r="AN13" s="167"/>
      <x:c r="AO13" s="167"/>
      <x:c r="AP13" s="167"/>
      <x:c r="AQ13" s="167"/>
      <x:c r="AR13" s="167"/>
      <x:c r="AS13" s="167"/>
      <x:c r="AT13" s="167"/>
      <x:c r="AU13" s="167"/>
      <x:c r="AV13" s="167"/>
      <x:c r="AW13" s="167"/>
      <x:c r="AX13" s="167"/>
      <x:c r="AY13" s="167"/>
      <x:c r="AZ13" s="167"/>
      <x:c r="BA13" s="167"/>
      <x:c r="BB13" s="167"/>
      <x:c r="BC13" s="181"/>
      <x:c r="BD13" s="181"/>
      <x:c r="BE13" s="181"/>
      <x:c r="BF13" s="181"/>
      <x:c r="BG13" s="181"/>
      <x:c r="BH13" s="181"/>
      <x:c r="BI13" s="181"/>
      <x:c r="BJ13" s="181"/>
      <x:c r="BK13" s="181"/>
      <x:c r="BL13" s="181"/>
      <x:c r="BM13" s="181"/>
      <x:c r="BN13" s="181"/>
      <x:c r="BO13" s="181"/>
      <x:c r="BP13" s="182"/>
      <x:c r="BQ13" s="182"/>
      <x:c r="BR13" s="182"/>
      <x:c r="BS13" s="182"/>
      <x:c r="BT13" s="182"/>
      <x:c r="BU13" s="182"/>
      <x:c r="BV13" s="182"/>
      <x:c r="BW13" s="182"/>
      <x:c r="BX13" s="182"/>
      <x:c r="BY13" s="182"/>
      <x:c r="BZ13" s="182"/>
      <x:c r="CA13" s="182"/>
      <x:c r="CB13" s="182"/>
    </x:row>
    <x:row r="14" ht="13.5" customHeight="1">
      <x:c r="A14" s="176" t="n">
        <x:v>1</x:v>
      </x:c>
      <x:c r="B14" s="442" t="str">
        <x:v>Xác thực JWT và refresh token</x:v>
      </x:c>
      <x:c r="C14" s="442" t="str">
        <x:v>Đăng ký, đăng nhập, đổi mật khẩu</x:v>
      </x:c>
      <x:c r="D14" s="176" t="str">
        <x:v>Backend</x:v>
      </x:c>
      <x:c r="E14" s="176" t="str">
        <x:v>Frontend, QA</x:v>
      </x:c>
      <x:c r="F14" s="432" t="n">
        <x:v>0.6</x:v>
      </x:c>
      <x:c r="G14" s="435" t="n">
        <x:v>46230</x:v>
      </x:c>
      <x:c r="H14" s="435" t="n">
        <x:v>46237</x:v>
      </x:c>
      <x:c r="I14" s="180" t="n">
        <x:f>IF(OR(ISBLANK(G14),ISBLANK(H14)),"",H14-G14+1)</x:f>
        <x:v>8</x:v>
      </x:c>
      <x:c r="J14" s="435"/>
      <x:c r="K14" s="435"/>
      <x:c r="L14" s="180" t="str">
        <x:f t="shared" si="6">IF(OR(ISBLANK(J14),ISBLANK(K14)),"",K14-J14+1)</x:f>
      </x:c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  <x:c r="Y14" s="167"/>
      <x:c r="Z14" s="167"/>
      <x:c r="AA14" s="167"/>
      <x:c r="AB14" s="167"/>
      <x:c r="AC14" s="167"/>
      <x:c r="AD14" s="167"/>
      <x:c r="AE14" s="167"/>
      <x:c r="AF14" s="167"/>
      <x:c r="AG14" s="167"/>
      <x:c r="AH14" s="167"/>
      <x:c r="AI14" s="167"/>
      <x:c r="AJ14" s="167"/>
      <x:c r="AK14" s="167"/>
      <x:c r="AL14" s="167"/>
      <x:c r="AM14" s="167"/>
      <x:c r="AN14" s="167"/>
      <x:c r="AO14" s="167"/>
      <x:c r="AP14" s="167"/>
      <x:c r="AQ14" s="167"/>
      <x:c r="AR14" s="167"/>
      <x:c r="AS14" s="167"/>
      <x:c r="AT14" s="167"/>
      <x:c r="AU14" s="167"/>
      <x:c r="AV14" s="167"/>
      <x:c r="AW14" s="167"/>
      <x:c r="AX14" s="167"/>
      <x:c r="AY14" s="167"/>
      <x:c r="AZ14" s="167"/>
      <x:c r="BA14" s="167"/>
      <x:c r="BB14" s="167"/>
      <x:c r="BC14" s="183"/>
      <x:c r="BD14" s="183"/>
      <x:c r="BE14" s="183"/>
      <x:c r="BF14" s="183"/>
      <x:c r="BG14" s="167"/>
      <x:c r="BH14" s="167"/>
      <x:c r="BI14" s="167"/>
      <x:c r="BJ14" s="167"/>
      <x:c r="BK14" s="167"/>
      <x:c r="BL14" s="167"/>
      <x:c r="BM14" s="167"/>
      <x:c r="BN14" s="167"/>
      <x:c r="BO14" s="168"/>
      <x:c r="BP14" s="175"/>
      <x:c r="BQ14" s="175"/>
      <x:c r="BR14" s="175"/>
      <x:c r="BS14" s="175"/>
      <x:c r="BT14" s="175"/>
      <x:c r="BU14" s="175"/>
      <x:c r="BV14" s="175"/>
      <x:c r="BW14" s="175"/>
      <x:c r="BX14" s="175"/>
      <x:c r="BY14" s="175"/>
      <x:c r="BZ14" s="175"/>
      <x:c r="CA14" s="175"/>
      <x:c r="CB14" s="175"/>
    </x:row>
    <x:row r="15" ht="15" customHeight="1">
      <x:c r="A15" s="169" t="n">
        <x:v>2</x:v>
      </x:c>
      <x:c r="B15" s="440" t="str">
        <x:v>RBAC và route/API guards</x:v>
      </x:c>
      <x:c r="C15" s="441" t="str">
        <x:v>4 vai trò hệ thống</x:v>
      </x:c>
      <x:c r="D15" s="169" t="str">
        <x:v>Backend</x:v>
      </x:c>
      <x:c r="E15" s="169" t="str">
        <x:v>Frontend, QA</x:v>
      </x:c>
      <x:c r="F15" s="431" t="n">
        <x:v>0.45</x:v>
      </x:c>
      <x:c r="G15" s="434" t="n">
        <x:v>46233</x:v>
      </x:c>
      <x:c r="H15" s="434" t="n">
        <x:v>46240</x:v>
      </x:c>
      <x:c r="I15" s="174" t="n">
        <x:f>IF(OR(ISBLANK(G15),ISBLANK(H15)),"",H15-G15+1)</x:f>
        <x:v>8</x:v>
      </x:c>
      <x:c r="J15" s="434"/>
      <x:c r="K15" s="434"/>
      <x:c r="L15" s="174" t="str">
        <x:f>IF(OR(ISBLANK(J15),ISBLANK(K15)),"",K15-J15+1)</x:f>
      </x:c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  <x:c r="Y15" s="167"/>
      <x:c r="Z15" s="167"/>
      <x:c r="AA15" s="167"/>
      <x:c r="AB15" s="167"/>
      <x:c r="AC15" s="167"/>
      <x:c r="AD15" s="167"/>
      <x:c r="AE15" s="167"/>
      <x:c r="AF15" s="167"/>
      <x:c r="AG15" s="167"/>
      <x:c r="AH15" s="167"/>
      <x:c r="AI15" s="167"/>
      <x:c r="AJ15" s="167"/>
      <x:c r="AK15" s="167"/>
      <x:c r="AL15" s="167"/>
      <x:c r="AM15" s="167"/>
      <x:c r="AN15" s="167"/>
      <x:c r="AO15" s="167"/>
      <x:c r="AP15" s="167"/>
      <x:c r="AQ15" s="167"/>
      <x:c r="AR15" s="167"/>
      <x:c r="AS15" s="167"/>
      <x:c r="AT15" s="167"/>
      <x:c r="AU15" s="167"/>
      <x:c r="AV15" s="167"/>
      <x:c r="AW15" s="167"/>
      <x:c r="AX15" s="167"/>
      <x:c r="AY15" s="167"/>
      <x:c r="AZ15" s="167"/>
      <x:c r="BA15" s="167"/>
      <x:c r="BB15" s="167"/>
      <x:c r="BC15" s="167"/>
      <x:c r="BD15" s="167"/>
      <x:c r="BE15" s="167"/>
      <x:c r="BF15" s="167"/>
      <x:c r="BG15" s="167"/>
      <x:c r="BH15" s="167"/>
      <x:c r="BI15" s="167"/>
      <x:c r="BJ15" s="167"/>
      <x:c r="BK15" s="167"/>
      <x:c r="BL15" s="167"/>
      <x:c r="BM15" s="167"/>
      <x:c r="BN15" s="167"/>
      <x:c r="BO15" s="168"/>
      <x:c r="BP15" s="175"/>
      <x:c r="BQ15" s="175"/>
      <x:c r="BR15" s="175"/>
      <x:c r="BS15" s="175"/>
      <x:c r="BT15" s="175"/>
      <x:c r="BU15" s="175"/>
      <x:c r="BV15" s="175"/>
      <x:c r="BW15" s="175"/>
      <x:c r="BX15" s="175"/>
      <x:c r="BY15" s="175"/>
      <x:c r="BZ15" s="175"/>
      <x:c r="CA15" s="175"/>
      <x:c r="CB15" s="175"/>
    </x:row>
    <x:row r="16" ht="13.5" customHeight="1">
      <x:c r="A16" s="176" t="n">
        <x:v>3</x:v>
      </x:c>
      <x:c r="B16" s="442" t="str">
        <x:v>Tenant Context và multi-store</x:v>
      </x:c>
      <x:c r="C16" s="442" t="str">
        <x:v>Cách ly dữ liệu và chuyển store</x:v>
      </x:c>
      <x:c r="D16" s="176" t="str">
        <x:v>Backend</x:v>
      </x:c>
      <x:c r="E16" s="176" t="str">
        <x:v>Frontend, QA</x:v>
      </x:c>
      <x:c r="F16" s="432" t="n">
        <x:v>0.35</x:v>
      </x:c>
      <x:c r="G16" s="435" t="n">
        <x:v>46237</x:v>
      </x:c>
      <x:c r="H16" s="435" t="n">
        <x:v>46246</x:v>
      </x:c>
      <x:c r="I16" s="180" t="n">
        <x:f>IF(OR(ISBLANK(G16),ISBLANK(H16)),"",H16-G16+1)</x:f>
        <x:v>10</x:v>
      </x:c>
      <x:c r="J16" s="435"/>
      <x:c r="K16" s="435"/>
      <x:c r="L16" s="180" t="str">
        <x:f>IF(OR(ISBLANK(J16),ISBLANK(K16)),"",K16-J16+1)</x:f>
      </x:c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  <x:c r="Y16" s="167"/>
      <x:c r="Z16" s="167"/>
      <x:c r="AA16" s="167"/>
      <x:c r="AB16" s="167"/>
      <x:c r="AC16" s="167"/>
      <x:c r="AD16" s="167"/>
      <x:c r="AE16" s="167"/>
      <x:c r="AF16" s="167"/>
      <x:c r="AG16" s="167"/>
      <x:c r="AH16" s="167"/>
      <x:c r="AI16" s="167"/>
      <x:c r="AJ16" s="167"/>
      <x:c r="AK16" s="167"/>
      <x:c r="AL16" s="167"/>
      <x:c r="AM16" s="167"/>
      <x:c r="AN16" s="167"/>
      <x:c r="AO16" s="167"/>
      <x:c r="AP16" s="167"/>
      <x:c r="AQ16" s="167"/>
      <x:c r="AR16" s="167"/>
      <x:c r="AS16" s="167"/>
      <x:c r="AT16" s="167"/>
      <x:c r="AU16" s="167"/>
      <x:c r="AV16" s="167"/>
      <x:c r="AW16" s="167"/>
      <x:c r="AX16" s="167"/>
      <x:c r="AY16" s="167"/>
      <x:c r="AZ16" s="167"/>
      <x:c r="BA16" s="167"/>
      <x:c r="BB16" s="167"/>
      <x:c r="BC16" s="167"/>
      <x:c r="BD16" s="167"/>
      <x:c r="BE16" s="167"/>
      <x:c r="BF16" s="167"/>
      <x:c r="BG16" s="167"/>
      <x:c r="BH16" s="167"/>
      <x:c r="BI16" s="167"/>
      <x:c r="BJ16" s="167"/>
      <x:c r="BK16" s="167"/>
      <x:c r="BL16" s="167"/>
      <x:c r="BM16" s="167"/>
      <x:c r="BN16" s="167"/>
      <x:c r="BO16" s="168"/>
      <x:c r="BP16" s="175"/>
      <x:c r="BQ16" s="175"/>
      <x:c r="BR16" s="175"/>
      <x:c r="BS16" s="175"/>
      <x:c r="BT16" s="175"/>
      <x:c r="BU16" s="175"/>
      <x:c r="BV16" s="175"/>
      <x:c r="BW16" s="175"/>
      <x:c r="BX16" s="175"/>
      <x:c r="BY16" s="175"/>
      <x:c r="BZ16" s="175"/>
      <x:c r="CA16" s="175"/>
      <x:c r="CB16" s="175"/>
    </x:row>
    <x:row r="17" ht="13.5" customHeight="1">
      <x:c r="A17" s="176" t="n">
        <x:v>4</x:v>
      </x:c>
      <x:c r="B17" s="442" t="str">
        <x:v>Quản lý store</x:v>
      </x:c>
      <x:c r="C17" s="442" t="str">
        <x:v>CRUD, trạng thái, quyền sở hữu</x:v>
      </x:c>
      <x:c r="D17" s="176" t="str">
        <x:v>Backend</x:v>
      </x:c>
      <x:c r="E17" s="176" t="str">
        <x:v>Frontend</x:v>
      </x:c>
      <x:c r="F17" s="432" t="n">
        <x:v>0.25</x:v>
      </x:c>
      <x:c r="G17" s="435" t="n">
        <x:v>46241</x:v>
      </x:c>
      <x:c r="H17" s="435" t="n">
        <x:v>46248</x:v>
      </x:c>
      <x:c r="I17" s="180" t="n">
        <x:f>IF(OR(ISBLANK(G17),ISBLANK(H17)),"",H17-G17+1)</x:f>
        <x:v>8</x:v>
      </x:c>
      <x:c r="J17" s="435"/>
      <x:c r="K17" s="435"/>
      <x:c r="L17" s="180" t="str">
        <x:f>IF(OR(ISBLANK(J17),ISBLANK(K17)),"",K17-J17+1)</x:f>
      </x:c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  <x:c r="Y17" s="167"/>
      <x:c r="Z17" s="167"/>
      <x:c r="AA17" s="167"/>
      <x:c r="AB17" s="167"/>
      <x:c r="AC17" s="167"/>
      <x:c r="AD17" s="167"/>
      <x:c r="AE17" s="167"/>
      <x:c r="AF17" s="167"/>
      <x:c r="AG17" s="167"/>
      <x:c r="AH17" s="167"/>
      <x:c r="AI17" s="167"/>
      <x:c r="AJ17" s="167"/>
      <x:c r="AK17" s="167"/>
      <x:c r="AL17" s="167"/>
      <x:c r="AM17" s="167"/>
      <x:c r="AN17" s="167"/>
      <x:c r="AO17" s="167"/>
      <x:c r="AP17" s="167"/>
      <x:c r="AQ17" s="167"/>
      <x:c r="AR17" s="167"/>
      <x:c r="AS17" s="167"/>
      <x:c r="AT17" s="167"/>
      <x:c r="AU17" s="167"/>
      <x:c r="AV17" s="167"/>
      <x:c r="AW17" s="167"/>
      <x:c r="AX17" s="167"/>
      <x:c r="AY17" s="167"/>
      <x:c r="AZ17" s="167"/>
      <x:c r="BA17" s="167"/>
      <x:c r="BB17" s="167"/>
      <x:c r="BC17" s="167"/>
      <x:c r="BD17" s="167"/>
      <x:c r="BE17" s="167"/>
      <x:c r="BF17" s="167"/>
      <x:c r="BG17" s="167"/>
      <x:c r="BH17" s="167"/>
      <x:c r="BI17" s="167"/>
      <x:c r="BJ17" s="167"/>
      <x:c r="BK17" s="167"/>
      <x:c r="BL17" s="167"/>
      <x:c r="BM17" s="167"/>
      <x:c r="BN17" s="167"/>
      <x:c r="BO17" s="168"/>
      <x:c r="BP17" s="175"/>
      <x:c r="BQ17" s="175"/>
      <x:c r="BR17" s="175"/>
      <x:c r="BS17" s="175"/>
      <x:c r="BT17" s="175"/>
      <x:c r="BU17" s="175"/>
      <x:c r="BV17" s="175"/>
      <x:c r="BW17" s="175"/>
      <x:c r="BX17" s="175"/>
      <x:c r="BY17" s="175"/>
      <x:c r="BZ17" s="175"/>
      <x:c r="CA17" s="175"/>
      <x:c r="CB17" s="175"/>
    </x:row>
    <x:row r="18" ht="13.5" customHeight="1">
      <x:c r="A18" s="176" t="str">
        <x:v>III</x:v>
      </x:c>
      <x:c r="B18" s="442" t="str">
        <x:v>QUẢN LÝ KHO FEFO</x:v>
      </x:c>
      <x:c r="C18" s="442" t="str">
        <x:v>Nguyên liệu, lô và giao dịch</x:v>
      </x:c>
      <x:c r="D18" s="176" t="str">
        <x:v>Tech Lead</x:v>
      </x:c>
      <x:c r="E18" s="176" t="str">
        <x:v>Backend, Frontend, QA</x:v>
      </x:c>
      <x:c r="F18" s="432" t="n">
        <x:v>0.1</x:v>
      </x:c>
      <x:c r="G18" s="435" t="n">
        <x:v>46244</x:v>
      </x:c>
      <x:c r="H18" s="435" t="n">
        <x:v>46269</x:v>
      </x:c>
      <x:c r="I18" s="180" t="n">
        <x:f>IF(OR(ISBLANK(G18),ISBLANK(H18)),"",H18-G18+1)</x:f>
        <x:v>26</x:v>
      </x:c>
      <x:c r="J18" s="435"/>
      <x:c r="K18" s="435"/>
      <x:c r="L18" s="180" t="str">
        <x:f>IF(OR(ISBLANK(J18),ISBLANK(K18)),"",K18-J18+1)</x:f>
      </x:c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  <x:c r="Y18" s="167"/>
      <x:c r="Z18" s="167"/>
      <x:c r="AA18" s="167"/>
      <x:c r="AB18" s="167"/>
      <x:c r="AC18" s="167"/>
      <x:c r="AD18" s="167"/>
      <x:c r="AE18" s="167"/>
      <x:c r="AF18" s="167"/>
      <x:c r="AG18" s="167"/>
      <x:c r="AH18" s="167"/>
      <x:c r="AI18" s="167"/>
      <x:c r="AJ18" s="167"/>
      <x:c r="AK18" s="167"/>
      <x:c r="AL18" s="167"/>
      <x:c r="AM18" s="167"/>
      <x:c r="AN18" s="167"/>
      <x:c r="AO18" s="167"/>
      <x:c r="AP18" s="167"/>
      <x:c r="AQ18" s="167"/>
      <x:c r="AR18" s="167"/>
      <x:c r="AS18" s="167"/>
      <x:c r="AT18" s="167"/>
      <x:c r="AU18" s="167"/>
      <x:c r="AV18" s="167"/>
      <x:c r="AW18" s="167"/>
      <x:c r="AX18" s="167"/>
      <x:c r="AY18" s="167"/>
      <x:c r="AZ18" s="167"/>
      <x:c r="BA18" s="167"/>
      <x:c r="BB18" s="167"/>
      <x:c r="BC18" s="167"/>
      <x:c r="BD18" s="167"/>
      <x:c r="BE18" s="167"/>
      <x:c r="BF18" s="167"/>
      <x:c r="BG18" s="167"/>
      <x:c r="BH18" s="167"/>
      <x:c r="BI18" s="167"/>
      <x:c r="BJ18" s="167"/>
      <x:c r="BK18" s="167"/>
      <x:c r="BL18" s="167"/>
      <x:c r="BM18" s="167"/>
      <x:c r="BN18" s="167"/>
      <x:c r="BO18" s="168"/>
      <x:c r="BP18" s="175"/>
      <x:c r="BQ18" s="175"/>
      <x:c r="BR18" s="175"/>
      <x:c r="BS18" s="175"/>
      <x:c r="BT18" s="175"/>
      <x:c r="BU18" s="175"/>
      <x:c r="BV18" s="175"/>
      <x:c r="BW18" s="175"/>
      <x:c r="BX18" s="175"/>
      <x:c r="BY18" s="175"/>
      <x:c r="BZ18" s="175"/>
      <x:c r="CA18" s="175"/>
      <x:c r="CB18" s="175"/>
    </x:row>
    <x:row r="19" ht="13.5" customHeight="1">
      <x:c r="A19" s="176" t="n">
        <x:v>1</x:v>
      </x:c>
      <x:c r="B19" s="442" t="str">
        <x:v>Danh mục nguyên liệu</x:v>
      </x:c>
      <x:c r="C19" s="442" t="str">
        <x:v>CRUD, đơn vị, min stock, unit cost</x:v>
      </x:c>
      <x:c r="D19" s="176" t="str">
        <x:v>Full-stack</x:v>
      </x:c>
      <x:c r="E19" s="176" t="str">
        <x:v>QA</x:v>
      </x:c>
      <x:c r="F19" s="432" t="n">
        <x:v>0.2</x:v>
      </x:c>
      <x:c r="G19" s="435" t="n">
        <x:v>46244</x:v>
      </x:c>
      <x:c r="H19" s="435" t="n">
        <x:v>46252</x:v>
      </x:c>
      <x:c r="I19" s="180" t="n">
        <x:f>IF(OR(ISBLANK(G19),ISBLANK(H19)),"",H19-G19+1)</x:f>
        <x:v>9</x:v>
      </x:c>
      <x:c r="J19" s="435"/>
      <x:c r="K19" s="435"/>
      <x:c r="L19" s="180" t="str">
        <x:f>IF(OR(ISBLANK(J19),ISBLANK(K19)),"",K19-J19+1)</x:f>
      </x:c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  <x:c r="Y19" s="167"/>
      <x:c r="Z19" s="167"/>
      <x:c r="AA19" s="167"/>
      <x:c r="AB19" s="167"/>
      <x:c r="AC19" s="167"/>
      <x:c r="AD19" s="167"/>
      <x:c r="AE19" s="167"/>
      <x:c r="AF19" s="167"/>
      <x:c r="AG19" s="167"/>
      <x:c r="AH19" s="167"/>
      <x:c r="AI19" s="167"/>
      <x:c r="AJ19" s="167"/>
      <x:c r="AK19" s="167"/>
      <x:c r="AL19" s="167"/>
      <x:c r="AM19" s="167"/>
      <x:c r="AN19" s="167"/>
      <x:c r="AO19" s="167"/>
      <x:c r="AP19" s="167"/>
      <x:c r="AQ19" s="167"/>
      <x:c r="AR19" s="167"/>
      <x:c r="AS19" s="167"/>
      <x:c r="AT19" s="167"/>
      <x:c r="AU19" s="167"/>
      <x:c r="AV19" s="167"/>
      <x:c r="AW19" s="167"/>
      <x:c r="AX19" s="167"/>
      <x:c r="AY19" s="167"/>
      <x:c r="AZ19" s="167"/>
      <x:c r="BA19" s="167"/>
      <x:c r="BB19" s="167"/>
      <x:c r="BC19" s="167"/>
      <x:c r="BD19" s="167"/>
      <x:c r="BE19" s="167"/>
      <x:c r="BF19" s="167"/>
      <x:c r="BG19" s="167"/>
      <x:c r="BH19" s="167"/>
      <x:c r="BI19" s="167"/>
      <x:c r="BJ19" s="167"/>
      <x:c r="BK19" s="167"/>
      <x:c r="BL19" s="167"/>
      <x:c r="BM19" s="167"/>
      <x:c r="BN19" s="167"/>
      <x:c r="BO19" s="168"/>
      <x:c r="BP19" s="175"/>
      <x:c r="BQ19" s="175"/>
      <x:c r="BR19" s="175"/>
      <x:c r="BS19" s="175"/>
      <x:c r="BT19" s="175"/>
      <x:c r="BU19" s="175"/>
      <x:c r="BV19" s="175"/>
      <x:c r="BW19" s="175"/>
      <x:c r="BX19" s="175"/>
      <x:c r="BY19" s="175"/>
      <x:c r="BZ19" s="175"/>
      <x:c r="CA19" s="175"/>
      <x:c r="CB19" s="175"/>
    </x:row>
    <x:row r="20" ht="13.5" customHeight="1">
      <x:c r="A20" s="176" t="n">
        <x:v>2</x:v>
      </x:c>
      <x:c r="B20" s="442" t="str">
        <x:v>Nhập kho theo lô</x:v>
      </x:c>
      <x:c r="C20" s="442" t="str">
        <x:v>Batch, HSD, số lượng, giá vốn</x:v>
      </x:c>
      <x:c r="D20" s="176" t="str">
        <x:v>Full-stack</x:v>
      </x:c>
      <x:c r="E20" s="176" t="str">
        <x:v>QA</x:v>
      </x:c>
      <x:c r="F20" s="432" t="n">
        <x:v>0.1</x:v>
      </x:c>
      <x:c r="G20" s="435" t="n">
        <x:v>46251</x:v>
      </x:c>
      <x:c r="H20" s="435" t="n">
        <x:v>46258</x:v>
      </x:c>
      <x:c r="I20" s="180" t="n">
        <x:f>IF(OR(ISBLANK(G20),ISBLANK(H20)),"",H20-G20+1)</x:f>
        <x:v>8</x:v>
      </x:c>
      <x:c r="J20" s="435"/>
      <x:c r="K20" s="435"/>
      <x:c r="L20" s="180" t="str">
        <x:f>IF(OR(ISBLANK(J20),ISBLANK(K20)),"",K20-J20+1)</x:f>
      </x:c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  <x:c r="Y20" s="167"/>
      <x:c r="Z20" s="167"/>
      <x:c r="AA20" s="167"/>
      <x:c r="AB20" s="167"/>
      <x:c r="AC20" s="167"/>
      <x:c r="AD20" s="167"/>
      <x:c r="AE20" s="167"/>
      <x:c r="AF20" s="167"/>
      <x:c r="AG20" s="167"/>
      <x:c r="AH20" s="167"/>
      <x:c r="AI20" s="167"/>
      <x:c r="AJ20" s="167"/>
      <x:c r="AK20" s="167"/>
      <x:c r="AL20" s="167"/>
      <x:c r="AM20" s="167"/>
      <x:c r="AN20" s="167"/>
      <x:c r="AO20" s="167"/>
      <x:c r="AP20" s="167"/>
      <x:c r="AQ20" s="167"/>
      <x:c r="AR20" s="167"/>
      <x:c r="AS20" s="167"/>
      <x:c r="AT20" s="167"/>
      <x:c r="AU20" s="167"/>
      <x:c r="AV20" s="167"/>
      <x:c r="AW20" s="167"/>
      <x:c r="AX20" s="167"/>
      <x:c r="AY20" s="167"/>
      <x:c r="AZ20" s="167"/>
      <x:c r="BA20" s="167"/>
      <x:c r="BB20" s="167"/>
      <x:c r="BC20" s="181"/>
      <x:c r="BD20" s="181"/>
      <x:c r="BE20" s="181"/>
      <x:c r="BF20" s="181"/>
      <x:c r="BG20" s="181"/>
      <x:c r="BH20" s="181"/>
      <x:c r="BI20" s="181"/>
      <x:c r="BJ20" s="181"/>
      <x:c r="BK20" s="181"/>
      <x:c r="BL20" s="181"/>
      <x:c r="BM20" s="181"/>
      <x:c r="BN20" s="181"/>
      <x:c r="BO20" s="181"/>
      <x:c r="BP20" s="182"/>
      <x:c r="BQ20" s="182"/>
      <x:c r="BR20" s="182"/>
      <x:c r="BS20" s="182"/>
      <x:c r="BT20" s="182"/>
      <x:c r="BU20" s="182"/>
      <x:c r="BV20" s="182"/>
      <x:c r="BW20" s="182"/>
      <x:c r="BX20" s="182"/>
      <x:c r="BY20" s="182"/>
      <x:c r="BZ20" s="182"/>
      <x:c r="CA20" s="182"/>
      <x:c r="CB20" s="182"/>
    </x:row>
    <x:row r="21" ht="15" customHeight="1">
      <x:c r="A21" s="169" t="n">
        <x:v>3</x:v>
      </x:c>
      <x:c r="B21" s="440" t="str">
        <x:v>Xuất kho FEFO</x:v>
      </x:c>
      <x:c r="C21" s="441" t="str">
        <x:v>Khóa đồng thời và phân bổ theo lô</x:v>
      </x:c>
      <x:c r="D21" s="169" t="str">
        <x:v>Backend</x:v>
      </x:c>
      <x:c r="E21" s="169" t="str">
        <x:v>QA</x:v>
      </x:c>
      <x:c r="F21" s="431" t="n">
        <x:v>0</x:v>
      </x:c>
      <x:c r="G21" s="434" t="n">
        <x:v>46254</x:v>
      </x:c>
      <x:c r="H21" s="434" t="n">
        <x:v>46265</x:v>
      </x:c>
      <x:c r="I21" s="174" t="n">
        <x:f>IF(OR(ISBLANK(G21),ISBLANK(H21)),"",H21-G21+1)</x:f>
        <x:v>12</x:v>
      </x:c>
      <x:c r="J21" s="438"/>
      <x:c r="K21" s="438"/>
      <x:c r="L21" s="174" t="str">
        <x:f>IF(OR(ISBLANK(J21),ISBLANK(K21)),"",K21-J21+1)</x:f>
      </x:c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  <x:c r="Y21" s="167"/>
      <x:c r="Z21" s="167"/>
      <x:c r="AA21" s="167"/>
      <x:c r="AB21" s="167"/>
      <x:c r="AC21" s="167"/>
      <x:c r="AD21" s="167"/>
      <x:c r="AE21" s="167"/>
      <x:c r="AF21" s="167"/>
      <x:c r="AG21" s="167"/>
      <x:c r="AH21" s="167"/>
      <x:c r="AI21" s="167"/>
      <x:c r="AJ21" s="167"/>
      <x:c r="AK21" s="167"/>
      <x:c r="AL21" s="167"/>
      <x:c r="AM21" s="167"/>
      <x:c r="AN21" s="167"/>
      <x:c r="AO21" s="167"/>
      <x:c r="AP21" s="167"/>
      <x:c r="AQ21" s="167"/>
      <x:c r="AR21" s="167"/>
      <x:c r="AS21" s="167"/>
      <x:c r="AT21" s="167"/>
      <x:c r="AU21" s="167"/>
      <x:c r="AV21" s="167"/>
      <x:c r="AW21" s="167"/>
      <x:c r="AX21" s="167"/>
      <x:c r="AY21" s="167"/>
      <x:c r="AZ21" s="167"/>
      <x:c r="BA21" s="167"/>
      <x:c r="BB21" s="167"/>
      <x:c r="BC21" s="167"/>
      <x:c r="BD21" s="167"/>
      <x:c r="BE21" s="167"/>
      <x:c r="BF21" s="167"/>
      <x:c r="BG21" s="167"/>
      <x:c r="BH21" s="167"/>
      <x:c r="BI21" s="167"/>
      <x:c r="BJ21" s="167"/>
      <x:c r="BK21" s="167"/>
      <x:c r="BL21" s="167"/>
      <x:c r="BM21" s="167"/>
      <x:c r="BN21" s="167"/>
      <x:c r="BO21" s="168"/>
      <x:c r="BP21" s="175"/>
      <x:c r="BQ21" s="175"/>
      <x:c r="BR21" s="175"/>
      <x:c r="BS21" s="175"/>
      <x:c r="BT21" s="175"/>
      <x:c r="BU21" s="175"/>
      <x:c r="BV21" s="175"/>
      <x:c r="BW21" s="175"/>
      <x:c r="BX21" s="175"/>
      <x:c r="BY21" s="175"/>
      <x:c r="BZ21" s="175"/>
      <x:c r="CA21" s="175"/>
      <x:c r="CB21" s="175"/>
    </x:row>
    <x:row r="22" ht="13.5" customHeight="1">
      <x:c r="A22" s="185" t="n">
        <x:v>4</x:v>
      </x:c>
      <x:c r="B22" s="443" t="str">
        <x:v>Ghi nhận hao hụt</x:v>
      </x:c>
      <x:c r="C22" s="442" t="str">
        <x:v>Lý do, số lượng và giá trị</x:v>
      </x:c>
      <x:c r="D22" s="176" t="str">
        <x:v>Full-stack</x:v>
      </x:c>
      <x:c r="E22" s="176" t="str">
        <x:v>QA</x:v>
      </x:c>
      <x:c r="F22" s="432" t="n">
        <x:v>0</x:v>
      </x:c>
      <x:c r="G22" s="436" t="n">
        <x:v>46259</x:v>
      </x:c>
      <x:c r="H22" s="436" t="n">
        <x:v>46267</x:v>
      </x:c>
      <x:c r="I22" s="180" t="n">
        <x:f>IF(OR(ISBLANK(G22),ISBLANK(H22)),"",H22-G22+1)</x:f>
        <x:v>9</x:v>
      </x:c>
      <x:c r="J22" s="435"/>
      <x:c r="K22" s="435"/>
      <x:c r="L22" s="180" t="str">
        <x:f>IF(OR(ISBLANK(J22),ISBLANK(K22)),"",K22-J22+1)</x:f>
      </x:c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  <x:c r="Y22" s="167"/>
      <x:c r="Z22" s="167"/>
      <x:c r="AA22" s="167"/>
      <x:c r="AB22" s="167"/>
      <x:c r="AC22" s="167"/>
      <x:c r="AD22" s="167"/>
      <x:c r="AE22" s="167"/>
      <x:c r="AF22" s="167"/>
      <x:c r="AG22" s="167"/>
      <x:c r="AH22" s="167"/>
      <x:c r="AI22" s="167"/>
      <x:c r="AJ22" s="167"/>
      <x:c r="AK22" s="167"/>
      <x:c r="AL22" s="167"/>
      <x:c r="AM22" s="167"/>
      <x:c r="AN22" s="167"/>
      <x:c r="AO22" s="167"/>
      <x:c r="AP22" s="167"/>
      <x:c r="AQ22" s="167"/>
      <x:c r="AR22" s="167"/>
      <x:c r="AS22" s="167"/>
      <x:c r="AT22" s="167"/>
      <x:c r="AU22" s="167"/>
      <x:c r="AV22" s="167"/>
      <x:c r="AW22" s="167"/>
      <x:c r="AX22" s="167"/>
      <x:c r="AY22" s="167"/>
      <x:c r="AZ22" s="167"/>
      <x:c r="BA22" s="167"/>
      <x:c r="BB22" s="167"/>
      <x:c r="BC22" s="167"/>
      <x:c r="BD22" s="167"/>
      <x:c r="BE22" s="167"/>
      <x:c r="BF22" s="167"/>
      <x:c r="BG22" s="167"/>
      <x:c r="BH22" s="167"/>
      <x:c r="BI22" s="167"/>
      <x:c r="BJ22" s="167"/>
      <x:c r="BK22" s="167"/>
      <x:c r="BL22" s="167"/>
      <x:c r="BM22" s="167"/>
      <x:c r="BN22" s="167"/>
      <x:c r="BO22" s="168"/>
      <x:c r="BP22" s="175"/>
      <x:c r="BQ22" s="175"/>
      <x:c r="BR22" s="175"/>
      <x:c r="BS22" s="175"/>
      <x:c r="BT22" s="175"/>
      <x:c r="BU22" s="175"/>
      <x:c r="BV22" s="175"/>
      <x:c r="BW22" s="175"/>
      <x:c r="BX22" s="175"/>
      <x:c r="BY22" s="175"/>
      <x:c r="BZ22" s="175"/>
      <x:c r="CA22" s="175"/>
      <x:c r="CB22" s="175"/>
    </x:row>
    <x:row r="23" ht="13.5" customHeight="1">
      <x:c r="A23" s="187" t="n">
        <x:v>5</x:v>
      </x:c>
      <x:c r="B23" s="444" t="str">
        <x:v>Giao dịch và kiểm kê</x:v>
      </x:c>
      <x:c r="C23" s="445" t="str">
        <x:v>Lịch sử, lọc, phân trang</x:v>
      </x:c>
      <x:c r="D23" s="176" t="str">
        <x:v>Full-stack</x:v>
      </x:c>
      <x:c r="E23" s="176" t="str">
        <x:v>QA</x:v>
      </x:c>
      <x:c r="F23" s="432" t="n">
        <x:v>0</x:v>
      </x:c>
      <x:c r="G23" s="437" t="n">
        <x:v>46262</x:v>
      </x:c>
      <x:c r="H23" s="437" t="n">
        <x:v>46269</x:v>
      </x:c>
      <x:c r="I23" s="190" t="n">
        <x:f>IF(OR(ISBLANK(G23),ISBLANK(H23)),"",H23-G23+1)</x:f>
        <x:v>8</x:v>
      </x:c>
      <x:c r="J23" s="435"/>
      <x:c r="K23" s="435"/>
      <x:c r="L23" s="180" t="str">
        <x:f>IF(OR(ISBLANK(J23),ISBLANK(K23)),"",K23-J23+1)</x:f>
      </x:c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  <x:c r="Y23" s="167"/>
      <x:c r="Z23" s="167"/>
      <x:c r="AA23" s="167"/>
      <x:c r="AB23" s="167"/>
      <x:c r="AC23" s="167"/>
      <x:c r="AD23" s="167"/>
      <x:c r="AE23" s="167"/>
      <x:c r="AF23" s="167"/>
      <x:c r="AG23" s="167"/>
      <x:c r="AH23" s="167"/>
      <x:c r="AI23" s="167"/>
      <x:c r="AJ23" s="167"/>
      <x:c r="AK23" s="167"/>
      <x:c r="AL23" s="167"/>
      <x:c r="AM23" s="167"/>
      <x:c r="AN23" s="167"/>
      <x:c r="AO23" s="167"/>
      <x:c r="AP23" s="167"/>
      <x:c r="AQ23" s="167"/>
      <x:c r="AR23" s="167"/>
      <x:c r="AS23" s="167"/>
      <x:c r="AT23" s="167"/>
      <x:c r="AU23" s="167"/>
      <x:c r="AV23" s="167"/>
      <x:c r="AW23" s="167"/>
      <x:c r="AX23" s="167"/>
      <x:c r="AY23" s="167"/>
      <x:c r="AZ23" s="167"/>
      <x:c r="BA23" s="167"/>
      <x:c r="BB23" s="167"/>
      <x:c r="BC23" s="167"/>
      <x:c r="BD23" s="167"/>
      <x:c r="BE23" s="167"/>
      <x:c r="BF23" s="167"/>
      <x:c r="BG23" s="167"/>
      <x:c r="BH23" s="167"/>
      <x:c r="BI23" s="167"/>
      <x:c r="BJ23" s="167"/>
      <x:c r="BK23" s="167"/>
      <x:c r="BL23" s="167"/>
      <x:c r="BM23" s="167"/>
      <x:c r="BN23" s="167"/>
      <x:c r="BO23" s="168"/>
      <x:c r="BP23" s="175"/>
      <x:c r="BQ23" s="175"/>
      <x:c r="BR23" s="175"/>
      <x:c r="BS23" s="175"/>
      <x:c r="BT23" s="175"/>
      <x:c r="BU23" s="175"/>
      <x:c r="BV23" s="175"/>
      <x:c r="BW23" s="175"/>
      <x:c r="BX23" s="175"/>
      <x:c r="BY23" s="175"/>
      <x:c r="BZ23" s="175"/>
      <x:c r="CA23" s="175"/>
      <x:c r="CB23" s="175"/>
    </x:row>
    <x:row r="24" ht="13.5" customHeight="1">
      <x:c r="A24" s="187" t="str">
        <x:v>IV</x:v>
      </x:c>
      <x:c r="B24" s="444" t="str">
        <x:v>CẢNH BÁO, DỰ BÁO &amp; BÁO CÁO</x:v>
      </x:c>
      <x:c r="C24" s="442" t="str">
        <x:v>Insight và hỗ trợ quyết định</x:v>
      </x:c>
      <x:c r="D24" s="176" t="str">
        <x:v>Tech Lead</x:v>
      </x:c>
      <x:c r="E24" s="176" t="str">
        <x:v>Data, Full-stack</x:v>
      </x:c>
      <x:c r="F24" s="432" t="n">
        <x:v>0</x:v>
      </x:c>
      <x:c r="G24" s="435" t="n">
        <x:v>46266</x:v>
      </x:c>
      <x:c r="H24" s="435" t="n">
        <x:v>46283</x:v>
      </x:c>
      <x:c r="I24" s="180" t="n">
        <x:f>IF(OR(ISBLANK(G24),ISBLANK(H24)),"",H24-G24+1)</x:f>
        <x:v>18</x:v>
      </x:c>
      <x:c r="J24" s="435"/>
      <x:c r="K24" s="435"/>
      <x:c r="L24" s="180" t="str">
        <x:f>IF(OR(ISBLANK(J24),ISBLANK(K24)),"",K24-J24+1)</x:f>
      </x:c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  <x:c r="Y24" s="167"/>
      <x:c r="Z24" s="167"/>
      <x:c r="AA24" s="167"/>
      <x:c r="AB24" s="167"/>
      <x:c r="AC24" s="167"/>
      <x:c r="AD24" s="167"/>
      <x:c r="AE24" s="167"/>
      <x:c r="AF24" s="167"/>
      <x:c r="AG24" s="167"/>
      <x:c r="AH24" s="167"/>
      <x:c r="AI24" s="167"/>
      <x:c r="AJ24" s="167"/>
      <x:c r="AK24" s="167"/>
      <x:c r="AL24" s="167"/>
      <x:c r="AM24" s="167"/>
      <x:c r="AN24" s="167"/>
      <x:c r="AO24" s="167"/>
      <x:c r="AP24" s="167"/>
      <x:c r="AQ24" s="167"/>
      <x:c r="AR24" s="167"/>
      <x:c r="AS24" s="167"/>
      <x:c r="AT24" s="167"/>
      <x:c r="AU24" s="167"/>
      <x:c r="AV24" s="167"/>
      <x:c r="AW24" s="167"/>
      <x:c r="AX24" s="167"/>
      <x:c r="AY24" s="167"/>
      <x:c r="AZ24" s="167"/>
      <x:c r="BA24" s="167"/>
      <x:c r="BB24" s="167"/>
      <x:c r="BC24" s="167"/>
      <x:c r="BD24" s="167"/>
      <x:c r="BE24" s="167"/>
      <x:c r="BF24" s="167"/>
      <x:c r="BG24" s="167"/>
      <x:c r="BH24" s="167"/>
      <x:c r="BI24" s="167"/>
      <x:c r="BJ24" s="167"/>
      <x:c r="BK24" s="167"/>
      <x:c r="BL24" s="167"/>
      <x:c r="BM24" s="167"/>
      <x:c r="BN24" s="167"/>
      <x:c r="BO24" s="168"/>
      <x:c r="BP24" s="175"/>
      <x:c r="BQ24" s="175"/>
      <x:c r="BR24" s="175"/>
      <x:c r="BS24" s="175"/>
      <x:c r="BT24" s="175"/>
      <x:c r="BU24" s="175"/>
      <x:c r="BV24" s="175"/>
      <x:c r="BW24" s="175"/>
      <x:c r="BX24" s="175"/>
      <x:c r="BY24" s="175"/>
      <x:c r="BZ24" s="175"/>
      <x:c r="CA24" s="175"/>
      <x:c r="CB24" s="175"/>
    </x:row>
    <x:row r="25" ht="13.5" customHeight="1">
      <x:c r="A25" s="187" t="n">
        <x:v>1</x:v>
      </x:c>
      <x:c r="B25" s="444" t="str">
        <x:v>Cảnh báo tồn thấp/hết hạn</x:v>
      </x:c>
      <x:c r="C25" s="442" t="str">
        <x:v>Job định kỳ và action center</x:v>
      </x:c>
      <x:c r="D25" s="176" t="str">
        <x:v>Backend</x:v>
      </x:c>
      <x:c r="E25" s="176" t="str">
        <x:v>Frontend</x:v>
      </x:c>
      <x:c r="F25" s="432" t="n">
        <x:v>0</x:v>
      </x:c>
      <x:c r="G25" s="435" t="n">
        <x:v>46266</x:v>
      </x:c>
      <x:c r="H25" s="435" t="n">
        <x:v>46273</x:v>
      </x:c>
      <x:c r="I25" s="180" t="n">
        <x:f>IF(OR(ISBLANK(G25),ISBLANK(H25)),"",H25-G25+1)</x:f>
        <x:v>8</x:v>
      </x:c>
      <x:c r="J25" s="435"/>
      <x:c r="K25" s="435"/>
      <x:c r="L25" s="180" t="str">
        <x:f>IF(OR(ISBLANK(J25),ISBLANK(K25)),"",K25-J25+1)</x:f>
      </x:c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  <x:c r="Y25" s="167"/>
      <x:c r="Z25" s="167"/>
      <x:c r="AA25" s="167"/>
      <x:c r="AB25" s="167"/>
      <x:c r="AC25" s="167"/>
      <x:c r="AD25" s="167"/>
      <x:c r="AE25" s="167"/>
      <x:c r="AF25" s="167"/>
      <x:c r="AG25" s="167"/>
      <x:c r="AH25" s="167"/>
      <x:c r="AI25" s="167"/>
      <x:c r="AJ25" s="167"/>
      <x:c r="AK25" s="167"/>
      <x:c r="AL25" s="167"/>
      <x:c r="AM25" s="167"/>
      <x:c r="AN25" s="167"/>
      <x:c r="AO25" s="167"/>
      <x:c r="AP25" s="167"/>
      <x:c r="AQ25" s="167"/>
      <x:c r="AR25" s="167"/>
      <x:c r="AS25" s="167"/>
      <x:c r="AT25" s="167"/>
      <x:c r="AU25" s="167"/>
      <x:c r="AV25" s="167"/>
      <x:c r="AW25" s="167"/>
      <x:c r="AX25" s="167"/>
      <x:c r="AY25" s="167"/>
      <x:c r="AZ25" s="167"/>
      <x:c r="BA25" s="167"/>
      <x:c r="BB25" s="167"/>
      <x:c r="BC25" s="167"/>
      <x:c r="BD25" s="167"/>
      <x:c r="BE25" s="167"/>
      <x:c r="BF25" s="167"/>
      <x:c r="BG25" s="167"/>
      <x:c r="BH25" s="167"/>
      <x:c r="BI25" s="167"/>
      <x:c r="BJ25" s="167"/>
      <x:c r="BK25" s="167"/>
      <x:c r="BL25" s="167"/>
      <x:c r="BM25" s="167"/>
      <x:c r="BN25" s="167"/>
      <x:c r="BO25" s="168"/>
      <x:c r="BP25" s="175"/>
      <x:c r="BQ25" s="175"/>
      <x:c r="BR25" s="175"/>
      <x:c r="BS25" s="175"/>
      <x:c r="BT25" s="175"/>
      <x:c r="BU25" s="175"/>
      <x:c r="BV25" s="175"/>
      <x:c r="BW25" s="175"/>
      <x:c r="BX25" s="175"/>
      <x:c r="BY25" s="175"/>
      <x:c r="BZ25" s="175"/>
      <x:c r="CA25" s="175"/>
      <x:c r="CB25" s="175"/>
    </x:row>
    <x:row r="26" ht="13.5" customHeight="1">
      <x:c r="A26" s="187" t="n">
        <x:v>2</x:v>
      </x:c>
      <x:c r="B26" s="444" t="str">
        <x:v>Dự báo và reorder suggestion</x:v>
      </x:c>
      <x:c r="C26" s="442" t="str">
        <x:v>Dựa trên lịch sử tiêu hao</x:v>
      </x:c>
      <x:c r="D26" s="176" t="str">
        <x:v>Backend/Data</x:v>
      </x:c>
      <x:c r="E26" s="176" t="str">
        <x:v>Frontend, QA</x:v>
      </x:c>
      <x:c r="F26" s="432" t="n">
        <x:v>0</x:v>
      </x:c>
      <x:c r="G26" s="435" t="n">
        <x:v>46269</x:v>
      </x:c>
      <x:c r="H26" s="435" t="n">
        <x:v>46279</x:v>
      </x:c>
      <x:c r="I26" s="180" t="n">
        <x:f>IF(OR(ISBLANK(G26),ISBLANK(H26)),"",H26-G26+1)</x:f>
        <x:v>11</x:v>
      </x:c>
      <x:c r="J26" s="435"/>
      <x:c r="K26" s="435"/>
      <x:c r="L26" s="180" t="str">
        <x:f>IF(OR(ISBLANK(J26),ISBLANK(K26)),"",K26-J26+1)</x:f>
      </x:c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  <x:c r="Y26" s="167"/>
      <x:c r="Z26" s="167"/>
      <x:c r="AA26" s="167"/>
      <x:c r="AB26" s="167"/>
      <x:c r="AC26" s="167"/>
      <x:c r="AD26" s="167"/>
      <x:c r="AE26" s="167"/>
      <x:c r="AF26" s="167"/>
      <x:c r="AG26" s="167"/>
      <x:c r="AH26" s="167"/>
      <x:c r="AI26" s="167"/>
      <x:c r="AJ26" s="167"/>
      <x:c r="AK26" s="167"/>
      <x:c r="AL26" s="167"/>
      <x:c r="AM26" s="167"/>
      <x:c r="AN26" s="167"/>
      <x:c r="AO26" s="167"/>
      <x:c r="AP26" s="167"/>
      <x:c r="AQ26" s="167"/>
      <x:c r="AR26" s="167"/>
      <x:c r="AS26" s="167"/>
      <x:c r="AT26" s="167"/>
      <x:c r="AU26" s="167"/>
      <x:c r="AV26" s="167"/>
      <x:c r="AW26" s="167"/>
      <x:c r="AX26" s="167"/>
      <x:c r="AY26" s="167"/>
      <x:c r="AZ26" s="167"/>
      <x:c r="BA26" s="167"/>
      <x:c r="BB26" s="167"/>
      <x:c r="BC26" s="167"/>
      <x:c r="BD26" s="167"/>
      <x:c r="BE26" s="167"/>
      <x:c r="BF26" s="167"/>
      <x:c r="BG26" s="167"/>
      <x:c r="BH26" s="167"/>
      <x:c r="BI26" s="167"/>
      <x:c r="BJ26" s="167"/>
      <x:c r="BK26" s="167"/>
      <x:c r="BL26" s="167"/>
      <x:c r="BM26" s="167"/>
      <x:c r="BN26" s="167"/>
      <x:c r="BO26" s="168"/>
      <x:c r="BP26" s="175"/>
      <x:c r="BQ26" s="175"/>
      <x:c r="BR26" s="175"/>
      <x:c r="BS26" s="175"/>
      <x:c r="BT26" s="175"/>
      <x:c r="BU26" s="175"/>
      <x:c r="BV26" s="175"/>
      <x:c r="BW26" s="175"/>
      <x:c r="BX26" s="175"/>
      <x:c r="BY26" s="175"/>
      <x:c r="BZ26" s="175"/>
      <x:c r="CA26" s="175"/>
      <x:c r="CB26" s="175"/>
    </x:row>
    <x:row r="27" ht="13.5" customHeight="1">
      <x:c r="A27" s="187" t="n">
        <x:v>3</x:v>
      </x:c>
      <x:c r="B27" s="444" t="str">
        <x:v>Dashboard KPI</x:v>
      </x:c>
      <x:c r="C27" s="442" t="str">
        <x:v>Tồn, waste, cảnh báo và xu hướng</x:v>
      </x:c>
      <x:c r="D27" s="176" t="str">
        <x:v>Frontend</x:v>
      </x:c>
      <x:c r="E27" s="176" t="str">
        <x:v>Backend, QA</x:v>
      </x:c>
      <x:c r="F27" s="432" t="n">
        <x:v>0</x:v>
      </x:c>
      <x:c r="G27" s="435" t="n">
        <x:v>46273</x:v>
      </x:c>
      <x:c r="H27" s="435" t="n">
        <x:v>46281</x:v>
      </x:c>
      <x:c r="I27" s="180" t="n">
        <x:f>IF(OR(ISBLANK(G27),ISBLANK(H27)),"",H27-G27+1)</x:f>
        <x:v>9</x:v>
      </x:c>
      <x:c r="J27" s="435"/>
      <x:c r="K27" s="435"/>
      <x:c r="L27" s="180" t="str">
        <x:f>IF(OR(ISBLANK(J27),ISBLANK(K27)),"",K27-J27+1)</x:f>
      </x:c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  <x:c r="Y27" s="167"/>
      <x:c r="Z27" s="167"/>
      <x:c r="AA27" s="167"/>
      <x:c r="AB27" s="167"/>
      <x:c r="AC27" s="167"/>
      <x:c r="AD27" s="167"/>
      <x:c r="AE27" s="167"/>
      <x:c r="AF27" s="167"/>
      <x:c r="AG27" s="167"/>
      <x:c r="AH27" s="167"/>
      <x:c r="AI27" s="167"/>
      <x:c r="AJ27" s="167"/>
      <x:c r="AK27" s="167"/>
      <x:c r="AL27" s="167"/>
      <x:c r="AM27" s="167"/>
      <x:c r="AN27" s="167"/>
      <x:c r="AO27" s="167"/>
      <x:c r="AP27" s="167"/>
      <x:c r="AQ27" s="167"/>
      <x:c r="AR27" s="167"/>
      <x:c r="AS27" s="167"/>
      <x:c r="AT27" s="167"/>
      <x:c r="AU27" s="167"/>
      <x:c r="AV27" s="167"/>
      <x:c r="AW27" s="167"/>
      <x:c r="AX27" s="167"/>
      <x:c r="AY27" s="167"/>
      <x:c r="AZ27" s="167"/>
      <x:c r="BA27" s="167"/>
      <x:c r="BB27" s="167"/>
      <x:c r="BC27" s="167"/>
      <x:c r="BD27" s="167"/>
      <x:c r="BE27" s="167"/>
      <x:c r="BF27" s="167"/>
      <x:c r="BG27" s="167"/>
      <x:c r="BH27" s="167"/>
      <x:c r="BI27" s="167"/>
      <x:c r="BJ27" s="167"/>
      <x:c r="BK27" s="167"/>
      <x:c r="BL27" s="167"/>
      <x:c r="BM27" s="167"/>
      <x:c r="BN27" s="167"/>
      <x:c r="BO27" s="168"/>
      <x:c r="BP27" s="175"/>
      <x:c r="BQ27" s="175"/>
      <x:c r="BR27" s="175"/>
      <x:c r="BS27" s="175"/>
      <x:c r="BT27" s="175"/>
      <x:c r="BU27" s="175"/>
      <x:c r="BV27" s="175"/>
      <x:c r="BW27" s="175"/>
      <x:c r="BX27" s="175"/>
      <x:c r="BY27" s="175"/>
      <x:c r="BZ27" s="175"/>
      <x:c r="CA27" s="175"/>
      <x:c r="CB27" s="175"/>
    </x:row>
    <x:row r="28" ht="13.5" customHeight="1">
      <x:c r="A28" s="187" t="n">
        <x:v>4</x:v>
      </x:c>
      <x:c r="B28" s="444" t="str">
        <x:v>Báo cáo và xuất CSV</x:v>
      </x:c>
      <x:c r="C28" s="442" t="str">
        <x:v>Waste, transaction, audit log</x:v>
      </x:c>
      <x:c r="D28" s="176" t="str">
        <x:v>Full-stack</x:v>
      </x:c>
      <x:c r="E28" s="176" t="str">
        <x:v>QA</x:v>
      </x:c>
      <x:c r="F28" s="432" t="n">
        <x:v>0</x:v>
      </x:c>
      <x:c r="G28" s="435" t="n">
        <x:v>46276</x:v>
      </x:c>
      <x:c r="H28" s="435" t="n">
        <x:v>46283</x:v>
      </x:c>
      <x:c r="I28" s="180" t="n">
        <x:f>IF(OR(ISBLANK(G28),ISBLANK(H28)),"",H28-G28+1)</x:f>
        <x:v>8</x:v>
      </x:c>
      <x:c r="J28" s="435"/>
      <x:c r="K28" s="435"/>
      <x:c r="L28" s="180" t="str">
        <x:f>IF(OR(ISBLANK(J28),ISBLANK(K28)),"",K28-J28+1)</x:f>
      </x:c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  <x:c r="Y28" s="167"/>
      <x:c r="Z28" s="167"/>
      <x:c r="AA28" s="167"/>
      <x:c r="AB28" s="167"/>
      <x:c r="AC28" s="167"/>
      <x:c r="AD28" s="167"/>
      <x:c r="AE28" s="167"/>
      <x:c r="AF28" s="167"/>
      <x:c r="AG28" s="167"/>
      <x:c r="AH28" s="167"/>
      <x:c r="AI28" s="167"/>
      <x:c r="AJ28" s="167"/>
      <x:c r="AK28" s="167"/>
      <x:c r="AL28" s="167"/>
      <x:c r="AM28" s="167"/>
      <x:c r="AN28" s="167"/>
      <x:c r="AO28" s="167"/>
      <x:c r="AP28" s="167"/>
      <x:c r="AQ28" s="167"/>
      <x:c r="AR28" s="167"/>
      <x:c r="AS28" s="167"/>
      <x:c r="AT28" s="167"/>
      <x:c r="AU28" s="167"/>
      <x:c r="AV28" s="167"/>
      <x:c r="AW28" s="167"/>
      <x:c r="AX28" s="167"/>
      <x:c r="AY28" s="167"/>
      <x:c r="AZ28" s="167"/>
      <x:c r="BA28" s="167"/>
      <x:c r="BB28" s="167"/>
      <x:c r="BC28" s="167"/>
      <x:c r="BD28" s="167"/>
      <x:c r="BE28" s="167"/>
      <x:c r="BF28" s="167"/>
      <x:c r="BG28" s="167"/>
      <x:c r="BH28" s="167"/>
      <x:c r="BI28" s="167"/>
      <x:c r="BJ28" s="167"/>
      <x:c r="BK28" s="167"/>
      <x:c r="BL28" s="167"/>
      <x:c r="BM28" s="167"/>
      <x:c r="BN28" s="167"/>
      <x:c r="BO28" s="168"/>
      <x:c r="BP28" s="175"/>
      <x:c r="BQ28" s="175"/>
      <x:c r="BR28" s="175"/>
      <x:c r="BS28" s="175"/>
      <x:c r="BT28" s="175"/>
      <x:c r="BU28" s="175"/>
      <x:c r="BV28" s="175"/>
      <x:c r="BW28" s="175"/>
      <x:c r="BX28" s="175"/>
      <x:c r="BY28" s="175"/>
      <x:c r="BZ28" s="175"/>
      <x:c r="CA28" s="175"/>
      <x:c r="CB28" s="175"/>
    </x:row>
    <x:row r="29" ht="13.5" customHeight="1">
      <x:c r="A29" s="187" t="str">
        <x:v>V</x:v>
      </x:c>
      <x:c r="B29" s="444" t="str">
        <x:v>NHÂN SỰ, BILLING &amp; ADMIN</x:v>
      </x:c>
      <x:c r="C29" s="442" t="str">
        <x:v>Thương mại hóa SaaS</x:v>
      </x:c>
      <x:c r="D29" s="176" t="str">
        <x:v>Tech Lead</x:v>
      </x:c>
      <x:c r="E29" s="176" t="str">
        <x:v>Full-stack, QA</x:v>
      </x:c>
      <x:c r="F29" s="432" t="n">
        <x:v>0</x:v>
      </x:c>
      <x:c r="G29" s="435" t="n">
        <x:v>46279</x:v>
      </x:c>
      <x:c r="H29" s="435" t="n">
        <x:v>46297</x:v>
      </x:c>
      <x:c r="I29" s="180" t="n">
        <x:f>IF(OR(ISBLANK(G29),ISBLANK(H29)),"",H29-G29+1)</x:f>
        <x:v>19</x:v>
      </x:c>
      <x:c r="J29" s="435"/>
      <x:c r="K29" s="435"/>
      <x:c r="L29" s="180" t="str">
        <x:f>IF(OR(ISBLANK(J29),ISBLANK(K29)),"",K29-J29+1)</x:f>
      </x:c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  <x:c r="Y29" s="167"/>
      <x:c r="Z29" s="167"/>
      <x:c r="AA29" s="167"/>
      <x:c r="AB29" s="167"/>
      <x:c r="AC29" s="167"/>
      <x:c r="AD29" s="167"/>
      <x:c r="AE29" s="167"/>
      <x:c r="AF29" s="167"/>
      <x:c r="AG29" s="167"/>
      <x:c r="AH29" s="167"/>
      <x:c r="AI29" s="167"/>
      <x:c r="AJ29" s="167"/>
      <x:c r="AK29" s="167"/>
      <x:c r="AL29" s="167"/>
      <x:c r="AM29" s="167"/>
      <x:c r="AN29" s="167"/>
      <x:c r="AO29" s="167"/>
      <x:c r="AP29" s="167"/>
      <x:c r="AQ29" s="167"/>
      <x:c r="AR29" s="167"/>
      <x:c r="AS29" s="167"/>
      <x:c r="AT29" s="167"/>
      <x:c r="AU29" s="167"/>
      <x:c r="AV29" s="167"/>
      <x:c r="AW29" s="167"/>
      <x:c r="AX29" s="167"/>
      <x:c r="AY29" s="167"/>
      <x:c r="AZ29" s="167"/>
      <x:c r="BA29" s="167"/>
      <x:c r="BB29" s="167"/>
      <x:c r="BC29" s="167"/>
      <x:c r="BD29" s="167"/>
      <x:c r="BE29" s="167"/>
      <x:c r="BF29" s="167"/>
      <x:c r="BG29" s="167"/>
      <x:c r="BH29" s="167"/>
      <x:c r="BI29" s="167"/>
      <x:c r="BJ29" s="167"/>
      <x:c r="BK29" s="167"/>
      <x:c r="BL29" s="167"/>
      <x:c r="BM29" s="167"/>
      <x:c r="BN29" s="167"/>
      <x:c r="BO29" s="168"/>
      <x:c r="BP29" s="175"/>
      <x:c r="BQ29" s="175"/>
      <x:c r="BR29" s="175"/>
      <x:c r="BS29" s="175"/>
      <x:c r="BT29" s="175"/>
      <x:c r="BU29" s="175"/>
      <x:c r="BV29" s="175"/>
      <x:c r="BW29" s="175"/>
      <x:c r="BX29" s="175"/>
      <x:c r="BY29" s="175"/>
      <x:c r="BZ29" s="175"/>
      <x:c r="CA29" s="175"/>
      <x:c r="CB29" s="175"/>
    </x:row>
    <x:row r="30" ht="13.5" customHeight="1">
      <x:c r="A30" s="187" t="n">
        <x:v>1</x:v>
      </x:c>
      <x:c r="B30" s="444" t="str">
        <x:v>Invitation và first login</x:v>
      </x:c>
      <x:c r="C30" s="442" t="str">
        <x:v>Email, token, mật khẩu tạm</x:v>
      </x:c>
      <x:c r="D30" s="176" t="str">
        <x:v>Full-stack</x:v>
      </x:c>
      <x:c r="E30" s="176" t="str">
        <x:v>QA</x:v>
      </x:c>
      <x:c r="F30" s="432" t="n">
        <x:v>0</x:v>
      </x:c>
      <x:c r="G30" s="435" t="n">
        <x:v>46279</x:v>
      </x:c>
      <x:c r="H30" s="435" t="n">
        <x:v>46287</x:v>
      </x:c>
      <x:c r="I30" s="180" t="n">
        <x:f>IF(OR(ISBLANK(G30),ISBLANK(H30)),"",H30-G30+1)</x:f>
        <x:v>9</x:v>
      </x:c>
      <x:c r="J30" s="435"/>
      <x:c r="K30" s="435"/>
      <x:c r="L30" s="180" t="str">
        <x:f>IF(OR(ISBLANK(J30),ISBLANK(K30)),"",K30-J30+1)</x:f>
      </x:c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  <x:c r="Y30" s="167"/>
      <x:c r="Z30" s="167"/>
      <x:c r="AA30" s="167"/>
      <x:c r="AB30" s="167"/>
      <x:c r="AC30" s="167"/>
      <x:c r="AD30" s="167"/>
      <x:c r="AE30" s="167"/>
      <x:c r="AF30" s="167"/>
      <x:c r="AG30" s="167"/>
      <x:c r="AH30" s="167"/>
      <x:c r="AI30" s="167"/>
      <x:c r="AJ30" s="167"/>
      <x:c r="AK30" s="167"/>
      <x:c r="AL30" s="167"/>
      <x:c r="AM30" s="167"/>
      <x:c r="AN30" s="167"/>
      <x:c r="AO30" s="167"/>
      <x:c r="AP30" s="167"/>
      <x:c r="AQ30" s="167"/>
      <x:c r="AR30" s="167"/>
      <x:c r="AS30" s="167"/>
      <x:c r="AT30" s="167"/>
      <x:c r="AU30" s="167"/>
      <x:c r="AV30" s="167"/>
      <x:c r="AW30" s="167"/>
      <x:c r="AX30" s="167"/>
      <x:c r="AY30" s="167"/>
      <x:c r="AZ30" s="167"/>
      <x:c r="BA30" s="167"/>
      <x:c r="BB30" s="167"/>
      <x:c r="BC30" s="167"/>
      <x:c r="BD30" s="167"/>
      <x:c r="BE30" s="167"/>
      <x:c r="BF30" s="167"/>
      <x:c r="BG30" s="167"/>
      <x:c r="BH30" s="167"/>
      <x:c r="BI30" s="167"/>
      <x:c r="BJ30" s="167"/>
      <x:c r="BK30" s="167"/>
      <x:c r="BL30" s="167"/>
      <x:c r="BM30" s="167"/>
      <x:c r="BN30" s="167"/>
      <x:c r="BO30" s="168"/>
      <x:c r="BP30" s="175"/>
      <x:c r="BQ30" s="175"/>
      <x:c r="BR30" s="175"/>
      <x:c r="BS30" s="175"/>
      <x:c r="BT30" s="175"/>
      <x:c r="BU30" s="175"/>
      <x:c r="BV30" s="175"/>
      <x:c r="BW30" s="175"/>
      <x:c r="BX30" s="175"/>
      <x:c r="BY30" s="175"/>
      <x:c r="BZ30" s="175"/>
      <x:c r="CA30" s="175"/>
      <x:c r="CB30" s="175"/>
    </x:row>
    <x:row r="31" ht="13.5" customHeight="1">
      <x:c r="A31" s="187" t="n">
        <x:v>2</x:v>
      </x:c>
      <x:c r="B31" s="444" t="str">
        <x:v>Quản lý nhân sự</x:v>
      </x:c>
      <x:c r="C31" s="442" t="str">
        <x:v>Vai trò, trạng thái và hạn mức</x:v>
      </x:c>
      <x:c r="D31" s="176" t="str">
        <x:v>Full-stack</x:v>
      </x:c>
      <x:c r="E31" s="176" t="str">
        <x:v>QA</x:v>
      </x:c>
      <x:c r="F31" s="432" t="n">
        <x:v>0</x:v>
      </x:c>
      <x:c r="G31" s="435" t="n">
        <x:v>46283</x:v>
      </x:c>
      <x:c r="H31" s="435" t="n">
        <x:v>46290</x:v>
      </x:c>
      <x:c r="I31" s="180" t="n">
        <x:f>IF(OR(ISBLANK(G31),ISBLANK(H31)),"",H31-G31+1)</x:f>
        <x:v>8</x:v>
      </x:c>
      <x:c r="J31" s="435"/>
      <x:c r="K31" s="435"/>
      <x:c r="L31" s="180" t="str">
        <x:f>IF(OR(ISBLANK(J31),ISBLANK(K31)),"",K31-J31+1)</x:f>
      </x:c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  <x:c r="Y31" s="167"/>
      <x:c r="Z31" s="167"/>
      <x:c r="AA31" s="167"/>
      <x:c r="AB31" s="167"/>
      <x:c r="AC31" s="167"/>
      <x:c r="AD31" s="167"/>
      <x:c r="AE31" s="167"/>
      <x:c r="AF31" s="167"/>
      <x:c r="AG31" s="167"/>
      <x:c r="AH31" s="167"/>
      <x:c r="AI31" s="167"/>
      <x:c r="AJ31" s="167"/>
      <x:c r="AK31" s="167"/>
      <x:c r="AL31" s="167"/>
      <x:c r="AM31" s="167"/>
      <x:c r="AN31" s="167"/>
      <x:c r="AO31" s="167"/>
      <x:c r="AP31" s="167"/>
      <x:c r="AQ31" s="167"/>
      <x:c r="AR31" s="167"/>
      <x:c r="AS31" s="167"/>
      <x:c r="AT31" s="167"/>
      <x:c r="AU31" s="167"/>
      <x:c r="AV31" s="167"/>
      <x:c r="AW31" s="167"/>
      <x:c r="AX31" s="167"/>
      <x:c r="AY31" s="167"/>
      <x:c r="AZ31" s="167"/>
      <x:c r="BA31" s="167"/>
      <x:c r="BB31" s="167"/>
      <x:c r="BC31" s="167"/>
      <x:c r="BD31" s="167"/>
      <x:c r="BE31" s="167"/>
      <x:c r="BF31" s="167"/>
      <x:c r="BG31" s="167"/>
      <x:c r="BH31" s="167"/>
      <x:c r="BI31" s="167"/>
      <x:c r="BJ31" s="167"/>
      <x:c r="BK31" s="167"/>
      <x:c r="BL31" s="167"/>
      <x:c r="BM31" s="167"/>
      <x:c r="BN31" s="167"/>
      <x:c r="BO31" s="168"/>
      <x:c r="BP31" s="175"/>
      <x:c r="BQ31" s="175"/>
      <x:c r="BR31" s="175"/>
      <x:c r="BS31" s="175"/>
      <x:c r="BT31" s="175"/>
      <x:c r="BU31" s="175"/>
      <x:c r="BV31" s="175"/>
      <x:c r="BW31" s="175"/>
      <x:c r="BX31" s="175"/>
      <x:c r="BY31" s="175"/>
      <x:c r="BZ31" s="175"/>
      <x:c r="CA31" s="175"/>
      <x:c r="CB31" s="175"/>
    </x:row>
    <x:row r="32" ht="13.5" customHeight="1">
      <x:c r="A32" s="187" t="n">
        <x:v>3</x:v>
      </x:c>
      <x:c r="B32" s="444" t="str">
        <x:v>Subscription và billing</x:v>
      </x:c>
      <x:c r="C32" s="442" t="str">
        <x:v>Gói, entitlement, webhook</x:v>
      </x:c>
      <x:c r="D32" s="176" t="str">
        <x:v>Backend</x:v>
      </x:c>
      <x:c r="E32" s="176" t="str">
        <x:v>Frontend, QA</x:v>
      </x:c>
      <x:c r="F32" s="432" t="n">
        <x:v>0</x:v>
      </x:c>
      <x:c r="G32" s="435" t="n">
        <x:v>46286</x:v>
      </x:c>
      <x:c r="H32" s="435" t="n">
        <x:v>46295</x:v>
      </x:c>
      <x:c r="I32" s="180" t="n">
        <x:f>IF(OR(ISBLANK(G32),ISBLANK(H32)),"",H32-G32+1)</x:f>
        <x:v>10</x:v>
      </x:c>
      <x:c r="J32" s="435"/>
      <x:c r="K32" s="435"/>
      <x:c r="L32" s="180" t="str">
        <x:f>IF(OR(ISBLANK(J32),ISBLANK(K32)),"",K32-J32+1)</x:f>
      </x:c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  <x:c r="Y32" s="167"/>
      <x:c r="Z32" s="167"/>
      <x:c r="AA32" s="167"/>
      <x:c r="AB32" s="167"/>
      <x:c r="AC32" s="167"/>
      <x:c r="AD32" s="167"/>
      <x:c r="AE32" s="167"/>
      <x:c r="AF32" s="167"/>
      <x:c r="AG32" s="167"/>
      <x:c r="AH32" s="167"/>
      <x:c r="AI32" s="167"/>
      <x:c r="AJ32" s="167"/>
      <x:c r="AK32" s="167"/>
      <x:c r="AL32" s="167"/>
      <x:c r="AM32" s="167"/>
      <x:c r="AN32" s="167"/>
      <x:c r="AO32" s="167"/>
      <x:c r="AP32" s="167"/>
      <x:c r="AQ32" s="167"/>
      <x:c r="AR32" s="167"/>
      <x:c r="AS32" s="167"/>
      <x:c r="AT32" s="167"/>
      <x:c r="AU32" s="167"/>
      <x:c r="AV32" s="167"/>
      <x:c r="AW32" s="167"/>
      <x:c r="AX32" s="167"/>
      <x:c r="AY32" s="167"/>
      <x:c r="AZ32" s="167"/>
      <x:c r="BA32" s="167"/>
      <x:c r="BB32" s="167"/>
      <x:c r="BC32" s="167"/>
      <x:c r="BD32" s="167"/>
      <x:c r="BE32" s="167"/>
      <x:c r="BF32" s="167"/>
      <x:c r="BG32" s="167"/>
      <x:c r="BH32" s="167"/>
      <x:c r="BI32" s="167"/>
      <x:c r="BJ32" s="167"/>
      <x:c r="BK32" s="167"/>
      <x:c r="BL32" s="167"/>
      <x:c r="BM32" s="167"/>
      <x:c r="BN32" s="167"/>
      <x:c r="BO32" s="168"/>
      <x:c r="BP32" s="175"/>
      <x:c r="BQ32" s="175"/>
      <x:c r="BR32" s="175"/>
      <x:c r="BS32" s="175"/>
      <x:c r="BT32" s="175"/>
      <x:c r="BU32" s="175"/>
      <x:c r="BV32" s="175"/>
      <x:c r="BW32" s="175"/>
      <x:c r="BX32" s="175"/>
      <x:c r="BY32" s="175"/>
      <x:c r="BZ32" s="175"/>
      <x:c r="CA32" s="175"/>
      <x:c r="CB32" s="175"/>
    </x:row>
    <x:row r="33" ht="13.5" customHeight="1">
      <x:c r="A33" s="187" t="n">
        <x:v>4</x:v>
      </x:c>
      <x:c r="B33" s="444" t="str">
        <x:v>System Admin</x:v>
      </x:c>
      <x:c r="C33" s="442" t="str">
        <x:v>Quản lý tenant, user và giao dịch</x:v>
      </x:c>
      <x:c r="D33" s="176" t="str">
        <x:v>Full-stack</x:v>
      </x:c>
      <x:c r="E33" s="176" t="str">
        <x:v>QA</x:v>
      </x:c>
      <x:c r="F33" s="432" t="n">
        <x:v>0</x:v>
      </x:c>
      <x:c r="G33" s="435" t="n">
        <x:v>46290</x:v>
      </x:c>
      <x:c r="H33" s="435" t="n">
        <x:v>46297</x:v>
      </x:c>
      <x:c r="I33" s="180" t="n">
        <x:f>IF(OR(ISBLANK(G33),ISBLANK(H33)),"",H33-G33+1)</x:f>
        <x:v>8</x:v>
      </x:c>
      <x:c r="J33" s="435"/>
      <x:c r="K33" s="435"/>
      <x:c r="L33" s="180" t="str">
        <x:f>IF(OR(ISBLANK(J33),ISBLANK(K33)),"",K33-J33+1)</x:f>
      </x:c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  <x:c r="Y33" s="167"/>
      <x:c r="Z33" s="167"/>
      <x:c r="AA33" s="167"/>
      <x:c r="AB33" s="167"/>
      <x:c r="AC33" s="167"/>
      <x:c r="AD33" s="167"/>
      <x:c r="AE33" s="167"/>
      <x:c r="AF33" s="167"/>
      <x:c r="AG33" s="167"/>
      <x:c r="AH33" s="167"/>
      <x:c r="AI33" s="167"/>
      <x:c r="AJ33" s="167"/>
      <x:c r="AK33" s="167"/>
      <x:c r="AL33" s="167"/>
      <x:c r="AM33" s="167"/>
      <x:c r="AN33" s="167"/>
      <x:c r="AO33" s="167"/>
      <x:c r="AP33" s="167"/>
      <x:c r="AQ33" s="167"/>
      <x:c r="AR33" s="167"/>
      <x:c r="AS33" s="167"/>
      <x:c r="AT33" s="167"/>
      <x:c r="AU33" s="167"/>
      <x:c r="AV33" s="167"/>
      <x:c r="AW33" s="167"/>
      <x:c r="AX33" s="167"/>
      <x:c r="AY33" s="167"/>
      <x:c r="AZ33" s="167"/>
      <x:c r="BA33" s="167"/>
      <x:c r="BB33" s="167"/>
      <x:c r="BC33" s="167"/>
      <x:c r="BD33" s="167"/>
      <x:c r="BE33" s="167"/>
      <x:c r="BF33" s="167"/>
      <x:c r="BG33" s="167"/>
      <x:c r="BH33" s="167"/>
      <x:c r="BI33" s="167"/>
      <x:c r="BJ33" s="167"/>
      <x:c r="BK33" s="167"/>
      <x:c r="BL33" s="167"/>
      <x:c r="BM33" s="167"/>
      <x:c r="BN33" s="167"/>
      <x:c r="BO33" s="168"/>
      <x:c r="BP33" s="175"/>
      <x:c r="BQ33" s="175"/>
      <x:c r="BR33" s="175"/>
      <x:c r="BS33" s="175"/>
      <x:c r="BT33" s="175"/>
      <x:c r="BU33" s="175"/>
      <x:c r="BV33" s="175"/>
      <x:c r="BW33" s="175"/>
      <x:c r="BX33" s="175"/>
      <x:c r="BY33" s="175"/>
      <x:c r="BZ33" s="175"/>
      <x:c r="CA33" s="175"/>
      <x:c r="CB33" s="175"/>
    </x:row>
    <x:row r="34" ht="13.5" customHeight="1">
      <x:c r="A34" s="187" t="str">
        <x:v>VI</x:v>
      </x:c>
      <x:c r="B34" s="446" t="str">
        <x:v>KIỂM THỬ, TRIỂN KHAI &amp; BÀN GIAO</x:v>
      </x:c>
      <x:c r="C34" s="442" t="str">
        <x:v>Ổn định và nghiệm thu</x:v>
      </x:c>
      <x:c r="D34" s="176" t="str">
        <x:v>PM</x:v>
      </x:c>
      <x:c r="E34" s="176" t="str">
        <x:v>Toàn đội</x:v>
      </x:c>
      <x:c r="F34" s="432" t="n">
        <x:v>0</x:v>
      </x:c>
      <x:c r="G34" s="437" t="n">
        <x:v>46293</x:v>
      </x:c>
      <x:c r="H34" s="437" t="n">
        <x:v>46311</x:v>
      </x:c>
      <x:c r="I34" s="190" t="n">
        <x:f>IF(OR(ISBLANK(G34),ISBLANK(H34)),"",H34-G34+1)</x:f>
        <x:v>19</x:v>
      </x:c>
      <x:c r="J34" s="435"/>
      <x:c r="K34" s="435"/>
      <x:c r="L34" s="180" t="str">
        <x:f>IF(OR(ISBLANK(J34),ISBLANK(K34)),"",K34-J34+1)</x:f>
      </x:c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  <x:c r="Y34" s="167"/>
      <x:c r="Z34" s="167"/>
      <x:c r="AA34" s="167"/>
      <x:c r="AB34" s="167"/>
      <x:c r="AC34" s="167"/>
      <x:c r="AD34" s="167"/>
      <x:c r="AE34" s="167"/>
      <x:c r="AF34" s="167"/>
      <x:c r="AG34" s="167"/>
      <x:c r="AH34" s="167"/>
      <x:c r="AI34" s="167"/>
      <x:c r="AJ34" s="167"/>
      <x:c r="AK34" s="167"/>
      <x:c r="AL34" s="167"/>
      <x:c r="AM34" s="167"/>
      <x:c r="AN34" s="167"/>
      <x:c r="AO34" s="167"/>
      <x:c r="AP34" s="167"/>
      <x:c r="AQ34" s="167"/>
      <x:c r="AR34" s="167"/>
      <x:c r="AS34" s="167"/>
      <x:c r="AT34" s="167"/>
      <x:c r="AU34" s="167"/>
      <x:c r="AV34" s="167"/>
      <x:c r="AW34" s="167"/>
      <x:c r="AX34" s="167"/>
      <x:c r="AY34" s="167"/>
      <x:c r="AZ34" s="167"/>
      <x:c r="BA34" s="167"/>
      <x:c r="BB34" s="167"/>
      <x:c r="BC34" s="167"/>
      <x:c r="BD34" s="167"/>
      <x:c r="BE34" s="167"/>
      <x:c r="BF34" s="167"/>
      <x:c r="BG34" s="167"/>
      <x:c r="BH34" s="167"/>
      <x:c r="BI34" s="167"/>
      <x:c r="BJ34" s="167"/>
      <x:c r="BK34" s="167"/>
      <x:c r="BL34" s="167"/>
      <x:c r="BM34" s="167"/>
      <x:c r="BN34" s="167"/>
      <x:c r="BO34" s="168"/>
      <x:c r="BP34" s="175"/>
      <x:c r="BQ34" s="175"/>
      <x:c r="BR34" s="175"/>
      <x:c r="BS34" s="175"/>
      <x:c r="BT34" s="175"/>
      <x:c r="BU34" s="175"/>
      <x:c r="BV34" s="175"/>
      <x:c r="BW34" s="175"/>
      <x:c r="BX34" s="175"/>
      <x:c r="BY34" s="175"/>
      <x:c r="BZ34" s="175"/>
      <x:c r="CA34" s="175"/>
      <x:c r="CB34" s="175"/>
    </x:row>
    <x:row r="35" ht="13.5" customHeight="1">
      <x:c r="A35" s="187" t="n">
        <x:v>1</x:v>
      </x:c>
      <x:c r="B35" s="444" t="str">
        <x:v>Kiểm thử tích hợp và bảo mật</x:v>
      </x:c>
      <x:c r="C35" s="442" t="str">
        <x:v>FEFO, tenant isolation, RBAC</x:v>
      </x:c>
      <x:c r="D35" s="176" t="str">
        <x:v>QA</x:v>
      </x:c>
      <x:c r="E35" s="176" t="str">
        <x:v>Backend, Frontend</x:v>
      </x:c>
      <x:c r="F35" s="432" t="n">
        <x:v>0</x:v>
      </x:c>
      <x:c r="G35" s="435" t="n">
        <x:v>46293</x:v>
      </x:c>
      <x:c r="H35" s="435" t="n">
        <x:v>46302</x:v>
      </x:c>
      <x:c r="I35" s="180" t="n">
        <x:f>IF(OR(ISBLANK(G35),ISBLANK(H35)),"",H35-G35+1)</x:f>
        <x:v>10</x:v>
      </x:c>
      <x:c r="J35" s="435"/>
      <x:c r="K35" s="435"/>
      <x:c r="L35" s="180" t="str">
        <x:f>IF(OR(ISBLANK(J35),ISBLANK(K35)),"",K35-J35+1)</x:f>
      </x:c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  <x:c r="Y35" s="167"/>
      <x:c r="Z35" s="167"/>
      <x:c r="AA35" s="167"/>
      <x:c r="AB35" s="167"/>
      <x:c r="AC35" s="167"/>
      <x:c r="AD35" s="167"/>
      <x:c r="AE35" s="167"/>
      <x:c r="AF35" s="167"/>
      <x:c r="AG35" s="167"/>
      <x:c r="AH35" s="167"/>
      <x:c r="AI35" s="167"/>
      <x:c r="AJ35" s="167"/>
      <x:c r="AK35" s="167"/>
      <x:c r="AL35" s="167"/>
      <x:c r="AM35" s="167"/>
      <x:c r="AN35" s="167"/>
      <x:c r="AO35" s="167"/>
      <x:c r="AP35" s="167"/>
      <x:c r="AQ35" s="167"/>
      <x:c r="AR35" s="167"/>
      <x:c r="AS35" s="167"/>
      <x:c r="AT35" s="167"/>
      <x:c r="AU35" s="167"/>
      <x:c r="AV35" s="167"/>
      <x:c r="AW35" s="167"/>
      <x:c r="AX35" s="167"/>
      <x:c r="AY35" s="167"/>
      <x:c r="AZ35" s="167"/>
      <x:c r="BA35" s="167"/>
      <x:c r="BB35" s="167"/>
      <x:c r="BC35" s="167"/>
      <x:c r="BD35" s="167"/>
      <x:c r="BE35" s="167"/>
      <x:c r="BF35" s="167"/>
      <x:c r="BG35" s="167"/>
      <x:c r="BH35" s="167"/>
      <x:c r="BI35" s="167"/>
      <x:c r="BJ35" s="167"/>
      <x:c r="BK35" s="167"/>
      <x:c r="BL35" s="167"/>
      <x:c r="BM35" s="167"/>
      <x:c r="BN35" s="167"/>
      <x:c r="BO35" s="168"/>
      <x:c r="BP35" s="175"/>
      <x:c r="BQ35" s="175"/>
      <x:c r="BR35" s="175"/>
      <x:c r="BS35" s="175"/>
      <x:c r="BT35" s="175"/>
      <x:c r="BU35" s="175"/>
      <x:c r="BV35" s="175"/>
      <x:c r="BW35" s="175"/>
      <x:c r="BX35" s="175"/>
      <x:c r="BY35" s="175"/>
      <x:c r="BZ35" s="175"/>
      <x:c r="CA35" s="175"/>
      <x:c r="CB35" s="175"/>
    </x:row>
    <x:row r="36" ht="13.5" customHeight="1">
      <x:c r="A36" s="185" t="n">
        <x:v>2</x:v>
      </x:c>
      <x:c r="B36" s="443" t="str">
        <x:v>UAT và xử lý lỗi</x:v>
      </x:c>
      <x:c r="C36" s="442" t="str">
        <x:v>Nghiệm thu với người dùng đại diện</x:v>
      </x:c>
      <x:c r="D36" s="176" t="str">
        <x:v>QA/BA</x:v>
      </x:c>
      <x:c r="E36" s="176" t="str">
        <x:v>Vận hành</x:v>
      </x:c>
      <x:c r="F36" s="432" t="n">
        <x:v>0</x:v>
      </x:c>
      <x:c r="G36" s="437" t="n">
        <x:v>46300</x:v>
      </x:c>
      <x:c r="H36" s="437" t="n">
        <x:v>46307</x:v>
      </x:c>
      <x:c r="I36" s="190" t="n">
        <x:f>IF(OR(ISBLANK(G36),ISBLANK(H36)),"",H36-G36+1)</x:f>
        <x:v>8</x:v>
      </x:c>
      <x:c r="J36" s="435"/>
      <x:c r="K36" s="435"/>
      <x:c r="L36" s="180" t="str">
        <x:f>IF(OR(ISBLANK(J36),ISBLANK(K36)),"",K36-J36+1)</x:f>
      </x:c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  <x:c r="Y36" s="167"/>
      <x:c r="Z36" s="167"/>
      <x:c r="AA36" s="167"/>
      <x:c r="AB36" s="167"/>
      <x:c r="AC36" s="167"/>
      <x:c r="AD36" s="167"/>
      <x:c r="AE36" s="167"/>
      <x:c r="AF36" s="167"/>
      <x:c r="AG36" s="167"/>
      <x:c r="AH36" s="167"/>
      <x:c r="AI36" s="167"/>
      <x:c r="AJ36" s="167"/>
      <x:c r="AK36" s="167"/>
      <x:c r="AL36" s="167"/>
      <x:c r="AM36" s="167"/>
      <x:c r="AN36" s="167"/>
      <x:c r="AO36" s="167"/>
      <x:c r="AP36" s="167"/>
      <x:c r="AQ36" s="167"/>
      <x:c r="AR36" s="167"/>
      <x:c r="AS36" s="167"/>
      <x:c r="AT36" s="167"/>
      <x:c r="AU36" s="167"/>
      <x:c r="AV36" s="167"/>
      <x:c r="AW36" s="167"/>
      <x:c r="AX36" s="167"/>
      <x:c r="AY36" s="167"/>
      <x:c r="AZ36" s="167"/>
      <x:c r="BA36" s="167"/>
      <x:c r="BB36" s="167"/>
      <x:c r="BC36" s="167"/>
      <x:c r="BD36" s="167"/>
      <x:c r="BE36" s="167"/>
      <x:c r="BF36" s="167"/>
      <x:c r="BG36" s="167"/>
      <x:c r="BH36" s="167"/>
      <x:c r="BI36" s="167"/>
      <x:c r="BJ36" s="167"/>
      <x:c r="BK36" s="167"/>
      <x:c r="BL36" s="167"/>
      <x:c r="BM36" s="167"/>
      <x:c r="BN36" s="167"/>
      <x:c r="BO36" s="168"/>
      <x:c r="BP36" s="175"/>
      <x:c r="BQ36" s="175"/>
      <x:c r="BR36" s="175"/>
      <x:c r="BS36" s="175"/>
      <x:c r="BT36" s="175"/>
      <x:c r="BU36" s="175"/>
      <x:c r="BV36" s="175"/>
      <x:c r="BW36" s="175"/>
      <x:c r="BX36" s="175"/>
      <x:c r="BY36" s="175"/>
      <x:c r="BZ36" s="175"/>
      <x:c r="CA36" s="175"/>
      <x:c r="CB36" s="175"/>
    </x:row>
    <x:row r="37" ht="13.5" customHeight="1">
      <x:c r="A37" s="187" t="n">
        <x:v>3</x:v>
      </x:c>
      <x:c r="B37" s="444" t="str">
        <x:v>Chuẩn bị production</x:v>
      </x:c>
      <x:c r="C37" s="442" t="str">
        <x:v>Hạ tầng, secrets, backup, migration</x:v>
      </x:c>
      <x:c r="D37" s="176" t="str">
        <x:v>DevOps</x:v>
      </x:c>
      <x:c r="E37" s="176" t="str">
        <x:v>Backend</x:v>
      </x:c>
      <x:c r="F37" s="432" t="n">
        <x:v>0</x:v>
      </x:c>
      <x:c r="G37" s="435" t="n">
        <x:v>46302</x:v>
      </x:c>
      <x:c r="H37" s="435" t="n">
        <x:v>46308</x:v>
      </x:c>
      <x:c r="I37" s="180" t="n">
        <x:f>IF(OR(ISBLANK(G37),ISBLANK(H37)),"",H37-G37+1)</x:f>
        <x:v>7</x:v>
      </x:c>
      <x:c r="J37" s="435"/>
      <x:c r="K37" s="435"/>
      <x:c r="L37" s="180" t="str">
        <x:f>IF(OR(ISBLANK(J37),ISBLANK(K37)),"",K37-J37+1)</x:f>
      </x:c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  <x:c r="Y37" s="167"/>
      <x:c r="Z37" s="167"/>
      <x:c r="AA37" s="167"/>
      <x:c r="AB37" s="167"/>
      <x:c r="AC37" s="167"/>
      <x:c r="AD37" s="167"/>
      <x:c r="AE37" s="167"/>
      <x:c r="AF37" s="167"/>
      <x:c r="AG37" s="167"/>
      <x:c r="AH37" s="167"/>
      <x:c r="AI37" s="167"/>
      <x:c r="AJ37" s="167"/>
      <x:c r="AK37" s="167"/>
      <x:c r="AL37" s="167"/>
      <x:c r="AM37" s="167"/>
      <x:c r="AN37" s="167"/>
      <x:c r="AO37" s="167"/>
      <x:c r="AP37" s="167"/>
      <x:c r="AQ37" s="167"/>
      <x:c r="AR37" s="167"/>
      <x:c r="AS37" s="167"/>
      <x:c r="AT37" s="167"/>
      <x:c r="AU37" s="167"/>
      <x:c r="AV37" s="167"/>
      <x:c r="AW37" s="167"/>
      <x:c r="AX37" s="167"/>
      <x:c r="AY37" s="167"/>
      <x:c r="AZ37" s="167"/>
      <x:c r="BA37" s="167"/>
      <x:c r="BB37" s="167"/>
      <x:c r="BC37" s="167"/>
      <x:c r="BD37" s="167"/>
      <x:c r="BE37" s="167"/>
      <x:c r="BF37" s="167"/>
      <x:c r="BG37" s="167"/>
      <x:c r="BH37" s="167"/>
      <x:c r="BI37" s="167"/>
      <x:c r="BJ37" s="167"/>
      <x:c r="BK37" s="167"/>
      <x:c r="BL37" s="167"/>
      <x:c r="BM37" s="167"/>
      <x:c r="BN37" s="167"/>
      <x:c r="BO37" s="168"/>
      <x:c r="BP37" s="175"/>
      <x:c r="BQ37" s="175"/>
      <x:c r="BR37" s="175"/>
      <x:c r="BS37" s="175"/>
      <x:c r="BT37" s="175"/>
      <x:c r="BU37" s="175"/>
      <x:c r="BV37" s="175"/>
      <x:c r="BW37" s="175"/>
      <x:c r="BX37" s="175"/>
      <x:c r="BY37" s="175"/>
      <x:c r="BZ37" s="175"/>
      <x:c r="CA37" s="175"/>
      <x:c r="CB37" s="175"/>
    </x:row>
    <x:row r="38" ht="13.5" customHeight="1">
      <x:c r="A38" s="187" t="n">
        <x:v>4</x:v>
      </x:c>
      <x:c r="B38" s="444" t="str">
        <x:v>Đào tạo và go-live</x:v>
      </x:c>
      <x:c r="C38" s="442" t="str">
        <x:v>Hướng dẫn, triển khai, giám sát</x:v>
      </x:c>
      <x:c r="D38" s="176" t="str">
        <x:v>PM</x:v>
      </x:c>
      <x:c r="E38" s="176" t="str">
        <x:v>Toàn đội</x:v>
      </x:c>
      <x:c r="F38" s="432" t="n">
        <x:v>0</x:v>
      </x:c>
      <x:c r="G38" s="435" t="n">
        <x:v>46309</x:v>
      </x:c>
      <x:c r="H38" s="435" t="n">
        <x:v>46310</x:v>
      </x:c>
      <x:c r="I38" s="180" t="n">
        <x:f>IF(OR(ISBLANK(G38),ISBLANK(H38)),"",H38-G38+1)</x:f>
        <x:v>2</x:v>
      </x:c>
      <x:c r="J38" s="435"/>
      <x:c r="K38" s="435"/>
      <x:c r="L38" s="180" t="str">
        <x:f>IF(OR(ISBLANK(J38),ISBLANK(K38)),"",K38-J38+1)</x:f>
      </x:c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  <x:c r="Y38" s="167"/>
      <x:c r="Z38" s="167"/>
      <x:c r="AA38" s="167"/>
      <x:c r="AB38" s="167"/>
      <x:c r="AC38" s="167"/>
      <x:c r="AD38" s="167"/>
      <x:c r="AE38" s="167"/>
      <x:c r="AF38" s="167"/>
      <x:c r="AG38" s="167"/>
      <x:c r="AH38" s="167"/>
      <x:c r="AI38" s="167"/>
      <x:c r="AJ38" s="167"/>
      <x:c r="AK38" s="167"/>
      <x:c r="AL38" s="167"/>
      <x:c r="AM38" s="167"/>
      <x:c r="AN38" s="167"/>
      <x:c r="AO38" s="167"/>
      <x:c r="AP38" s="167"/>
      <x:c r="AQ38" s="167"/>
      <x:c r="AR38" s="167"/>
      <x:c r="AS38" s="167"/>
      <x:c r="AT38" s="167"/>
      <x:c r="AU38" s="167"/>
      <x:c r="AV38" s="167"/>
      <x:c r="AW38" s="167"/>
      <x:c r="AX38" s="167"/>
      <x:c r="AY38" s="167"/>
      <x:c r="AZ38" s="167"/>
      <x:c r="BA38" s="167"/>
      <x:c r="BB38" s="167"/>
      <x:c r="BC38" s="167"/>
      <x:c r="BD38" s="167"/>
      <x:c r="BE38" s="167"/>
      <x:c r="BF38" s="167"/>
      <x:c r="BG38" s="167"/>
      <x:c r="BH38" s="167"/>
      <x:c r="BI38" s="167"/>
      <x:c r="BJ38" s="167"/>
      <x:c r="BK38" s="167"/>
      <x:c r="BL38" s="167"/>
      <x:c r="BM38" s="167"/>
      <x:c r="BN38" s="167"/>
      <x:c r="BO38" s="168"/>
      <x:c r="BP38" s="175"/>
      <x:c r="BQ38" s="175"/>
      <x:c r="BR38" s="175"/>
      <x:c r="BS38" s="175"/>
      <x:c r="BT38" s="175"/>
      <x:c r="BU38" s="175"/>
      <x:c r="BV38" s="175"/>
      <x:c r="BW38" s="175"/>
      <x:c r="BX38" s="175"/>
      <x:c r="BY38" s="175"/>
      <x:c r="BZ38" s="175"/>
      <x:c r="CA38" s="175"/>
      <x:c r="CB38" s="175"/>
    </x:row>
    <x:row r="39" ht="13.5" customHeight="1">
      <x:c r="A39" s="187" t="n">
        <x:v>5</x:v>
      </x:c>
      <x:c r="B39" s="444" t="str">
        <x:v>Bàn giao và đóng dự án</x:v>
      </x:c>
      <x:c r="C39" s="442" t="str">
        <x:v>Mã nguồn, tài liệu, biên bản</x:v>
      </x:c>
      <x:c r="D39" s="176" t="str">
        <x:v>PM</x:v>
      </x:c>
      <x:c r="E39" s="176" t="str">
        <x:v>Product Owner</x:v>
      </x:c>
      <x:c r="F39" s="432" t="n">
        <x:v>0</x:v>
      </x:c>
      <x:c r="G39" s="435" t="n">
        <x:v>46311</x:v>
      </x:c>
      <x:c r="H39" s="435" t="n">
        <x:v>46311</x:v>
      </x:c>
      <x:c r="I39" s="180" t="n">
        <x:f>IF(OR(ISBLANK(G39),ISBLANK(H39)),"",H39-G39+1)</x:f>
        <x:v>1</x:v>
      </x:c>
      <x:c r="J39" s="435"/>
      <x:c r="K39" s="435"/>
      <x:c r="L39" s="180" t="str">
        <x:f>IF(OR(ISBLANK(J39),ISBLANK(K39)),"",K39-J39+1)</x:f>
      </x:c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  <x:c r="Y39" s="167"/>
      <x:c r="Z39" s="167"/>
      <x:c r="AA39" s="167"/>
      <x:c r="AB39" s="167"/>
      <x:c r="AC39" s="167"/>
      <x:c r="AD39" s="167"/>
      <x:c r="AE39" s="167"/>
      <x:c r="AF39" s="167"/>
      <x:c r="AG39" s="167"/>
      <x:c r="AH39" s="167"/>
      <x:c r="AI39" s="167"/>
      <x:c r="AJ39" s="167"/>
      <x:c r="AK39" s="167"/>
      <x:c r="AL39" s="167"/>
      <x:c r="AM39" s="167"/>
      <x:c r="AN39" s="167"/>
      <x:c r="AO39" s="167"/>
      <x:c r="AP39" s="167"/>
      <x:c r="AQ39" s="167"/>
      <x:c r="AR39" s="167"/>
      <x:c r="AS39" s="167"/>
      <x:c r="AT39" s="167"/>
      <x:c r="AU39" s="167"/>
      <x:c r="AV39" s="167"/>
      <x:c r="AW39" s="167"/>
      <x:c r="AX39" s="167"/>
      <x:c r="AY39" s="167"/>
      <x:c r="AZ39" s="167"/>
      <x:c r="BA39" s="167"/>
      <x:c r="BB39" s="167"/>
      <x:c r="BC39" s="167"/>
      <x:c r="BD39" s="167"/>
      <x:c r="BE39" s="167"/>
      <x:c r="BF39" s="167"/>
      <x:c r="BG39" s="167"/>
      <x:c r="BH39" s="167"/>
      <x:c r="BI39" s="167"/>
      <x:c r="BJ39" s="167"/>
      <x:c r="BK39" s="167"/>
      <x:c r="BL39" s="167"/>
      <x:c r="BM39" s="167"/>
      <x:c r="BN39" s="167"/>
      <x:c r="BO39" s="168"/>
      <x:c r="BP39" s="175"/>
      <x:c r="BQ39" s="175"/>
      <x:c r="BR39" s="175"/>
      <x:c r="BS39" s="175"/>
      <x:c r="BT39" s="175"/>
      <x:c r="BU39" s="175"/>
      <x:c r="BV39" s="175"/>
      <x:c r="BW39" s="175"/>
      <x:c r="BX39" s="175"/>
      <x:c r="BY39" s="175"/>
      <x:c r="BZ39" s="175"/>
      <x:c r="CA39" s="175"/>
      <x:c r="CB39" s="175"/>
    </x:row>
    <x:row r="40" ht="13.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 s="175"/>
      <x:c r="BQ40" s="175"/>
      <x:c r="BR40" s="175"/>
      <x:c r="BS40" s="175"/>
      <x:c r="BT40" s="175"/>
      <x:c r="BU40" s="175"/>
      <x:c r="BV40" s="175"/>
      <x:c r="BW40" s="175"/>
      <x:c r="BX40" s="175"/>
      <x:c r="BY40" s="175"/>
      <x:c r="BZ40" s="175"/>
      <x:c r="CA40" s="175"/>
      <x:c r="CB40" s="175"/>
    </x:row>
    <x:row r="41" ht="13.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 s="175"/>
      <x:c r="BQ41" s="175"/>
      <x:c r="BR41" s="175"/>
      <x:c r="BS41" s="175"/>
      <x:c r="BT41" s="175"/>
      <x:c r="BU41" s="175"/>
      <x:c r="BV41" s="175"/>
      <x:c r="BW41" s="175"/>
      <x:c r="BX41" s="175"/>
      <x:c r="BY41" s="175"/>
      <x:c r="BZ41" s="175"/>
      <x:c r="CA41" s="175"/>
      <x:c r="CB41" s="175"/>
    </x:row>
    <x:row r="42" ht="13.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 s="175"/>
      <x:c r="BQ42" s="175"/>
      <x:c r="BR42" s="175"/>
      <x:c r="BS42" s="175"/>
      <x:c r="BT42" s="175"/>
      <x:c r="BU42" s="175"/>
      <x:c r="BV42" s="175"/>
      <x:c r="BW42" s="175"/>
      <x:c r="BX42" s="175"/>
      <x:c r="BY42" s="175"/>
      <x:c r="BZ42" s="175"/>
      <x:c r="CA42" s="175"/>
      <x:c r="CB42" s="175"/>
    </x:row>
    <x:row r="43" ht="13.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 s="175"/>
      <x:c r="BQ43" s="175"/>
      <x:c r="BR43" s="175"/>
      <x:c r="BS43" s="175"/>
      <x:c r="BT43" s="175"/>
      <x:c r="BU43" s="175"/>
      <x:c r="BV43" s="175"/>
      <x:c r="BW43" s="175"/>
      <x:c r="BX43" s="175"/>
      <x:c r="BY43" s="175"/>
      <x:c r="BZ43" s="175"/>
      <x:c r="CA43" s="175"/>
      <x:c r="CB43" s="175"/>
    </x:row>
    <x:row r="44" ht="13.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/>
      <x:c r="BO44"/>
      <x:c r="BP44" s="175"/>
      <x:c r="BQ44" s="175"/>
      <x:c r="BR44" s="175"/>
      <x:c r="BS44" s="175"/>
      <x:c r="BT44" s="175"/>
      <x:c r="BU44" s="175"/>
      <x:c r="BV44" s="175"/>
      <x:c r="BW44" s="175"/>
      <x:c r="BX44" s="175"/>
      <x:c r="BY44" s="175"/>
      <x:c r="BZ44" s="175"/>
      <x:c r="CA44" s="175"/>
      <x:c r="CB44" s="175"/>
    </x:row>
    <x:row r="45" ht="13.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 s="175"/>
      <x:c r="BQ45" s="175"/>
      <x:c r="BR45" s="175"/>
      <x:c r="BS45" s="175"/>
      <x:c r="BT45" s="175"/>
      <x:c r="BU45" s="175"/>
      <x:c r="BV45" s="175"/>
      <x:c r="BW45" s="175"/>
      <x:c r="BX45" s="175"/>
      <x:c r="BY45" s="175"/>
      <x:c r="BZ45" s="175"/>
      <x:c r="CA45" s="175"/>
      <x:c r="CB45" s="175"/>
    </x:row>
    <x:row r="46" ht="13.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 s="175"/>
      <x:c r="BQ46" s="175"/>
      <x:c r="BR46" s="175"/>
      <x:c r="BS46" s="175"/>
      <x:c r="BT46" s="175"/>
      <x:c r="BU46" s="175"/>
      <x:c r="BV46" s="175"/>
      <x:c r="BW46" s="175"/>
      <x:c r="BX46" s="175"/>
      <x:c r="BY46" s="175"/>
      <x:c r="BZ46" s="175"/>
      <x:c r="CA46" s="175"/>
      <x:c r="CB46" s="175"/>
    </x:row>
    <x:row r="47" ht="13.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  <x:c r="BG47"/>
      <x:c r="BH47"/>
      <x:c r="BI47"/>
      <x:c r="BJ47"/>
      <x:c r="BK47"/>
      <x:c r="BL47"/>
      <x:c r="BM47"/>
      <x:c r="BN47"/>
      <x:c r="BO47"/>
      <x:c r="BP47" s="175"/>
      <x:c r="BQ47" s="175"/>
      <x:c r="BR47" s="175"/>
      <x:c r="BS47" s="175"/>
      <x:c r="BT47" s="175"/>
      <x:c r="BU47" s="175"/>
      <x:c r="BV47" s="175"/>
      <x:c r="BW47" s="175"/>
      <x:c r="BX47" s="175"/>
      <x:c r="BY47" s="175"/>
      <x:c r="BZ47" s="175"/>
      <x:c r="CA47" s="175"/>
      <x:c r="CB47" s="175"/>
    </x:row>
    <x:row r="48" ht="13.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 s="175"/>
      <x:c r="BQ48" s="175"/>
      <x:c r="BR48" s="175"/>
      <x:c r="BS48" s="175"/>
      <x:c r="BT48" s="175"/>
      <x:c r="BU48" s="175"/>
      <x:c r="BV48" s="175"/>
      <x:c r="BW48" s="175"/>
      <x:c r="BX48" s="175"/>
      <x:c r="BY48" s="175"/>
      <x:c r="BZ48" s="175"/>
      <x:c r="CA48" s="175"/>
      <x:c r="CB48" s="175"/>
    </x:row>
    <x:row r="49" ht="13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 s="175"/>
      <x:c r="BQ49" s="175"/>
      <x:c r="BR49" s="175"/>
      <x:c r="BS49" s="175"/>
      <x:c r="BT49" s="175"/>
      <x:c r="BU49" s="175"/>
      <x:c r="BV49" s="175"/>
      <x:c r="BW49" s="175"/>
      <x:c r="BX49" s="175"/>
      <x:c r="BY49" s="175"/>
      <x:c r="BZ49" s="175"/>
      <x:c r="CA49" s="175"/>
      <x:c r="CB49" s="175"/>
    </x:row>
    <x:row r="50" ht="13.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 s="175"/>
      <x:c r="BQ50" s="175"/>
      <x:c r="BR50" s="175"/>
      <x:c r="BS50" s="175"/>
      <x:c r="BT50" s="175"/>
      <x:c r="BU50" s="175"/>
      <x:c r="BV50" s="175"/>
      <x:c r="BW50" s="175"/>
      <x:c r="BX50" s="175"/>
      <x:c r="BY50" s="175"/>
      <x:c r="BZ50" s="175"/>
      <x:c r="CA50" s="175"/>
      <x:c r="CB50" s="175"/>
    </x:row>
    <x:row r="51" ht="13.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 s="175"/>
      <x:c r="BQ51" s="175"/>
      <x:c r="BR51" s="175"/>
      <x:c r="BS51" s="175"/>
      <x:c r="BT51" s="175"/>
      <x:c r="BU51" s="175"/>
      <x:c r="BV51" s="175"/>
      <x:c r="BW51" s="175"/>
      <x:c r="BX51" s="175"/>
      <x:c r="BY51" s="175"/>
      <x:c r="BZ51" s="175"/>
      <x:c r="CA51" s="175"/>
      <x:c r="CB51" s="175"/>
    </x:row>
    <x:row r="52" ht="13.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 s="175"/>
      <x:c r="BQ52" s="175"/>
      <x:c r="BR52" s="175"/>
      <x:c r="BS52" s="175"/>
      <x:c r="BT52" s="175"/>
      <x:c r="BU52" s="175"/>
      <x:c r="BV52" s="175"/>
      <x:c r="BW52" s="175"/>
      <x:c r="BX52" s="175"/>
      <x:c r="BY52" s="175"/>
      <x:c r="BZ52" s="175"/>
      <x:c r="CA52" s="175"/>
      <x:c r="CB52" s="175"/>
    </x:row>
    <x:row r="53" ht="13.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 s="175"/>
      <x:c r="BQ53" s="175"/>
      <x:c r="BR53" s="175"/>
      <x:c r="BS53" s="175"/>
      <x:c r="BT53" s="175"/>
      <x:c r="BU53" s="175"/>
      <x:c r="BV53" s="175"/>
      <x:c r="BW53" s="175"/>
      <x:c r="BX53" s="175"/>
      <x:c r="BY53" s="175"/>
      <x:c r="BZ53" s="175"/>
      <x:c r="CA53" s="175"/>
      <x:c r="CB53" s="175"/>
    </x:row>
    <x:row r="54" ht="13.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 s="175"/>
      <x:c r="BQ54" s="175"/>
      <x:c r="BR54" s="175"/>
      <x:c r="BS54" s="175"/>
      <x:c r="BT54" s="175"/>
      <x:c r="BU54" s="175"/>
      <x:c r="BV54" s="175"/>
      <x:c r="BW54" s="175"/>
      <x:c r="BX54" s="175"/>
      <x:c r="BY54" s="175"/>
      <x:c r="BZ54" s="175"/>
      <x:c r="CA54" s="175"/>
      <x:c r="CB54" s="175"/>
    </x:row>
    <x:row r="55" ht="13.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 s="175"/>
      <x:c r="BQ55" s="175"/>
      <x:c r="BR55" s="175"/>
      <x:c r="BS55" s="175"/>
      <x:c r="BT55" s="175"/>
      <x:c r="BU55" s="175"/>
      <x:c r="BV55" s="175"/>
      <x:c r="BW55" s="175"/>
      <x:c r="BX55" s="175"/>
      <x:c r="BY55" s="175"/>
      <x:c r="BZ55" s="175"/>
      <x:c r="CA55" s="175"/>
      <x:c r="CB55" s="175"/>
    </x:row>
    <x:row r="56" ht="1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 s="175"/>
      <x:c r="BQ56" s="175"/>
      <x:c r="BR56" s="175"/>
      <x:c r="BS56" s="175"/>
      <x:c r="BT56" s="175"/>
      <x:c r="BU56" s="175"/>
      <x:c r="BV56" s="175"/>
      <x:c r="BW56" s="175"/>
      <x:c r="BX56" s="175"/>
      <x:c r="BY56" s="175"/>
      <x:c r="BZ56" s="175"/>
      <x:c r="CA56" s="175"/>
      <x:c r="CB56" s="175"/>
    </x:row>
    <x:row r="57" ht="13.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 s="175"/>
      <x:c r="BQ57" s="175"/>
      <x:c r="BR57" s="175"/>
      <x:c r="BS57" s="175"/>
      <x:c r="BT57" s="175"/>
      <x:c r="BU57" s="175"/>
      <x:c r="BV57" s="175"/>
      <x:c r="BW57" s="175"/>
      <x:c r="BX57" s="175"/>
      <x:c r="BY57" s="175"/>
      <x:c r="BZ57" s="175"/>
      <x:c r="CA57" s="175"/>
      <x:c r="CB57" s="175"/>
    </x:row>
    <x:row r="58" ht="13.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 s="175"/>
      <x:c r="BQ58" s="175"/>
      <x:c r="BR58" s="175"/>
      <x:c r="BS58" s="175"/>
      <x:c r="BT58" s="175"/>
      <x:c r="BU58" s="175"/>
      <x:c r="BV58" s="175"/>
      <x:c r="BW58" s="175"/>
      <x:c r="BX58" s="175"/>
      <x:c r="BY58" s="175"/>
      <x:c r="BZ58" s="175"/>
      <x:c r="CA58" s="175"/>
      <x:c r="CB58" s="175"/>
    </x:row>
    <x:row r="59" ht="13.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 s="175"/>
      <x:c r="BQ59" s="175"/>
      <x:c r="BR59" s="175"/>
      <x:c r="BS59" s="175"/>
      <x:c r="BT59" s="175"/>
      <x:c r="BU59" s="175"/>
      <x:c r="BV59" s="175"/>
      <x:c r="BW59" s="175"/>
      <x:c r="BX59" s="175"/>
      <x:c r="BY59" s="175"/>
      <x:c r="BZ59" s="175"/>
      <x:c r="CA59" s="175"/>
      <x:c r="CB59" s="175"/>
    </x:row>
    <x:row r="60" ht="13.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 s="175"/>
      <x:c r="BQ60" s="175"/>
      <x:c r="BR60" s="175"/>
      <x:c r="BS60" s="175"/>
      <x:c r="BT60" s="175"/>
      <x:c r="BU60" s="175"/>
      <x:c r="BV60" s="175"/>
      <x:c r="BW60" s="175"/>
      <x:c r="BX60" s="175"/>
      <x:c r="BY60" s="175"/>
      <x:c r="BZ60" s="175"/>
      <x:c r="CA60" s="175"/>
      <x:c r="CB60" s="175"/>
    </x:row>
    <x:row r="61" ht="13.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 s="175"/>
      <x:c r="BQ61" s="175"/>
      <x:c r="BR61" s="175"/>
      <x:c r="BS61" s="175"/>
      <x:c r="BT61" s="175"/>
      <x:c r="BU61" s="175"/>
      <x:c r="BV61" s="175"/>
      <x:c r="BW61" s="175"/>
      <x:c r="BX61" s="175"/>
      <x:c r="BY61" s="175"/>
      <x:c r="BZ61" s="175"/>
      <x:c r="CA61" s="175"/>
      <x:c r="CB61" s="175"/>
    </x:row>
    <x:row r="62" ht="13.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 s="175"/>
      <x:c r="BQ62" s="175"/>
      <x:c r="BR62" s="175"/>
      <x:c r="BS62" s="175"/>
      <x:c r="BT62" s="175"/>
      <x:c r="BU62" s="175"/>
      <x:c r="BV62" s="175"/>
      <x:c r="BW62" s="175"/>
      <x:c r="BX62" s="175"/>
      <x:c r="BY62" s="175"/>
      <x:c r="BZ62" s="175"/>
      <x:c r="CA62" s="175"/>
      <x:c r="CB62" s="175"/>
    </x:row>
    <x:row r="63" ht="13.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 s="175"/>
      <x:c r="BQ63" s="175"/>
      <x:c r="BR63" s="175"/>
      <x:c r="BS63" s="175"/>
      <x:c r="BT63" s="175"/>
      <x:c r="BU63" s="175"/>
      <x:c r="BV63" s="175"/>
      <x:c r="BW63" s="175"/>
      <x:c r="BX63" s="175"/>
      <x:c r="BY63" s="175"/>
      <x:c r="BZ63" s="175"/>
      <x:c r="CA63" s="175"/>
      <x:c r="CB63" s="175"/>
    </x:row>
    <x:row r="64" ht="13.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 s="175"/>
      <x:c r="BQ64" s="175"/>
      <x:c r="BR64" s="175"/>
      <x:c r="BS64" s="175"/>
      <x:c r="BT64" s="175"/>
      <x:c r="BU64" s="175"/>
      <x:c r="BV64" s="175"/>
      <x:c r="BW64" s="175"/>
      <x:c r="BX64" s="175"/>
      <x:c r="BY64" s="175"/>
      <x:c r="BZ64" s="175"/>
      <x:c r="CA64" s="175"/>
      <x:c r="CB64" s="175"/>
    </x:row>
    <x:row r="65" ht="13.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 s="175"/>
      <x:c r="BQ65" s="175"/>
      <x:c r="BR65" s="175"/>
      <x:c r="BS65" s="175"/>
      <x:c r="BT65" s="175"/>
      <x:c r="BU65" s="175"/>
      <x:c r="BV65" s="175"/>
      <x:c r="BW65" s="175"/>
      <x:c r="BX65" s="175"/>
      <x:c r="BY65" s="175"/>
      <x:c r="BZ65" s="175"/>
      <x:c r="CA65" s="175"/>
      <x:c r="CB65" s="175"/>
    </x:row>
    <x:row r="66" ht="13.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 s="175"/>
      <x:c r="BQ66" s="175"/>
      <x:c r="BR66" s="175"/>
      <x:c r="BS66" s="175"/>
      <x:c r="BT66" s="175"/>
      <x:c r="BU66" s="175"/>
      <x:c r="BV66" s="175"/>
      <x:c r="BW66" s="175"/>
      <x:c r="BX66" s="175"/>
      <x:c r="BY66" s="175"/>
      <x:c r="BZ66" s="175"/>
      <x:c r="CA66" s="175"/>
      <x:c r="CB66" s="175"/>
    </x:row>
    <x:row r="67" ht="13.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 s="175"/>
      <x:c r="BQ67" s="175"/>
      <x:c r="BR67" s="175"/>
      <x:c r="BS67" s="175"/>
      <x:c r="BT67" s="175"/>
      <x:c r="BU67" s="175"/>
      <x:c r="BV67" s="175"/>
      <x:c r="BW67" s="175"/>
      <x:c r="BX67" s="175"/>
      <x:c r="BY67" s="175"/>
      <x:c r="BZ67" s="175"/>
      <x:c r="CA67" s="175"/>
      <x:c r="CB67" s="175"/>
    </x:row>
    <x:row r="68" ht="13.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 s="175"/>
      <x:c r="BQ68" s="175"/>
      <x:c r="BR68" s="175"/>
      <x:c r="BS68" s="175"/>
      <x:c r="BT68" s="175"/>
      <x:c r="BU68" s="175"/>
      <x:c r="BV68" s="175"/>
      <x:c r="BW68" s="175"/>
      <x:c r="BX68" s="175"/>
      <x:c r="BY68" s="175"/>
      <x:c r="BZ68" s="175"/>
      <x:c r="CA68" s="175"/>
      <x:c r="CB68" s="175"/>
    </x:row>
    <x:row r="69" ht="1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 s="175"/>
      <x:c r="BQ69" s="175"/>
      <x:c r="BR69" s="175"/>
      <x:c r="BS69" s="175"/>
      <x:c r="BT69" s="175"/>
      <x:c r="BU69" s="175"/>
      <x:c r="BV69" s="175"/>
      <x:c r="BW69" s="175"/>
      <x:c r="BX69" s="175"/>
      <x:c r="BY69" s="175"/>
      <x:c r="BZ69" s="175"/>
      <x:c r="CA69" s="175"/>
      <x:c r="CB69" s="175"/>
    </x:row>
    <x:row r="70" ht="13.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 s="175"/>
      <x:c r="BQ70" s="175"/>
      <x:c r="BR70" s="175"/>
      <x:c r="BS70" s="175"/>
      <x:c r="BT70" s="175"/>
      <x:c r="BU70" s="175"/>
      <x:c r="BV70" s="175"/>
      <x:c r="BW70" s="175"/>
      <x:c r="BX70" s="175"/>
      <x:c r="BY70" s="175"/>
      <x:c r="BZ70" s="175"/>
      <x:c r="CA70" s="175"/>
      <x:c r="CB70" s="175"/>
    </x:row>
    <x:row r="71" ht="13.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 s="175"/>
      <x:c r="BQ71" s="175"/>
      <x:c r="BR71" s="175"/>
      <x:c r="BS71" s="175"/>
      <x:c r="BT71" s="175"/>
      <x:c r="BU71" s="175"/>
      <x:c r="BV71" s="175"/>
      <x:c r="BW71" s="175"/>
      <x:c r="BX71" s="175"/>
      <x:c r="BY71" s="175"/>
      <x:c r="BZ71" s="175"/>
      <x:c r="CA71" s="175"/>
      <x:c r="CB71" s="175"/>
    </x:row>
    <x:row r="72" ht="13.5" customHeight="1">
      <x:c r="G72"/>
      <x:c r="J72"/>
    </x:row>
    <x:row r="73" ht="13.5" customHeight="1">
      <x:c r="G73"/>
      <x:c r="J73"/>
    </x:row>
    <x:row r="74" ht="13.5" customHeight="1">
      <x:c r="G74"/>
      <x:c r="J74"/>
    </x:row>
    <x:row r="75" ht="13.5" customHeight="1">
      <x:c r="G75"/>
      <x:c r="J75"/>
    </x:row>
    <x:row r="76" ht="13.5" customHeight="1">
      <x:c r="G76"/>
      <x:c r="J76"/>
    </x:row>
    <x:row r="77" ht="13.5" customHeight="1">
      <x:c r="G77"/>
      <x:c r="J77"/>
    </x:row>
    <x:row r="78" ht="13.5" customHeight="1">
      <x:c r="G78"/>
      <x:c r="J78"/>
    </x:row>
    <x:row r="79" ht="13.5" customHeight="1">
      <x:c r="G79"/>
      <x:c r="J79"/>
    </x:row>
    <x:row r="80" ht="13.5" customHeight="1">
      <x:c r="G80"/>
      <x:c r="J80"/>
    </x:row>
    <x:row r="81" ht="13.5" customHeight="1">
      <x:c r="G81"/>
      <x:c r="J81"/>
    </x:row>
    <x:row r="82" ht="13.5" customHeight="1">
      <x:c r="G82"/>
      <x:c r="J82"/>
    </x:row>
    <x:row r="83" ht="13.5" customHeight="1">
      <x:c r="G83"/>
      <x:c r="J83"/>
    </x:row>
    <x:row r="84" ht="13.5" customHeight="1">
      <x:c r="G84"/>
      <x:c r="J84"/>
    </x:row>
    <x:row r="85" ht="13.5" customHeight="1">
      <x:c r="G85"/>
      <x:c r="J85"/>
    </x:row>
    <x:row r="86" ht="13.5" customHeight="1">
      <x:c r="G86"/>
      <x:c r="J86"/>
    </x:row>
    <x:row r="87" ht="13.5" customHeight="1">
      <x:c r="G87"/>
      <x:c r="J87"/>
    </x:row>
    <x:row r="88" ht="13.5" customHeight="1">
      <x:c r="G88"/>
      <x:c r="J88"/>
    </x:row>
    <x:row r="89" ht="13.5" customHeight="1">
      <x:c r="G89"/>
      <x:c r="J89"/>
    </x:row>
    <x:row r="90" ht="13.5" customHeight="1">
      <x:c r="G90"/>
      <x:c r="J90"/>
    </x:row>
    <x:row r="91" ht="13.5" customHeight="1">
      <x:c r="G91"/>
      <x:c r="J91"/>
    </x:row>
    <x:row r="92" ht="13.5" customHeight="1">
      <x:c r="G92"/>
      <x:c r="J92"/>
    </x:row>
    <x:row r="93" ht="13.5" customHeight="1">
      <x:c r="G93"/>
      <x:c r="J93"/>
    </x:row>
    <x:row r="94" ht="13.5" customHeight="1">
      <x:c r="G94"/>
      <x:c r="J94"/>
    </x:row>
    <x:row r="95" ht="13.5" customHeight="1">
      <x:c r="G95"/>
      <x:c r="J95"/>
    </x:row>
    <x:row r="96" ht="13.5" customHeight="1">
      <x:c r="G96"/>
      <x:c r="J96"/>
    </x:row>
    <x:row r="97" ht="13.5" customHeight="1">
      <x:c r="G97"/>
      <x:c r="J97"/>
    </x:row>
    <x:row r="98" ht="13.5" customHeight="1">
      <x:c r="G98"/>
      <x:c r="J98"/>
    </x:row>
    <x:row r="99" ht="13.5" customHeight="1">
      <x:c r="G99"/>
      <x:c r="J99"/>
    </x:row>
    <x:row r="100" ht="13.5" customHeight="1">
      <x:c r="G100"/>
      <x:c r="J100"/>
    </x:row>
    <x:row r="101" ht="13.5" customHeight="1">
      <x:c r="G101"/>
      <x:c r="J101"/>
    </x:row>
    <x:row r="102" ht="13.5" customHeight="1">
      <x:c r="G102"/>
      <x:c r="J102"/>
    </x:row>
    <x:row r="103" ht="13.5" customHeight="1">
      <x:c r="G103"/>
      <x:c r="J103"/>
    </x:row>
    <x:row r="104" ht="13.5" customHeight="1">
      <x:c r="G104"/>
      <x:c r="J104"/>
    </x:row>
    <x:row r="105" ht="13.5" customHeight="1">
      <x:c r="G105"/>
      <x:c r="J105"/>
    </x:row>
    <x:row r="106" ht="13.5" customHeight="1">
      <x:c r="G106"/>
      <x:c r="J106"/>
    </x:row>
    <x:row r="107" ht="13.5" customHeight="1">
      <x:c r="G107"/>
      <x:c r="J107"/>
    </x:row>
    <x:row r="108" ht="13.5" customHeight="1">
      <x:c r="G108"/>
      <x:c r="J108"/>
    </x:row>
    <x:row r="109" ht="13.5" customHeight="1">
      <x:c r="G109"/>
      <x:c r="J109"/>
    </x:row>
    <x:row r="110" ht="13.5" customHeight="1">
      <x:c r="G110"/>
      <x:c r="J110"/>
    </x:row>
    <x:row r="111" ht="13.5" customHeight="1">
      <x:c r="G111"/>
      <x:c r="J111"/>
    </x:row>
    <x:row r="112" ht="13.5" customHeight="1">
      <x:c r="G112"/>
      <x:c r="J112"/>
    </x:row>
    <x:row r="113" ht="13.5" customHeight="1">
      <x:c r="G113"/>
      <x:c r="J113"/>
    </x:row>
    <x:row r="114" ht="13.5" customHeight="1">
      <x:c r="G114"/>
      <x:c r="J114"/>
    </x:row>
    <x:row r="115" ht="13.5" customHeight="1">
      <x:c r="G115"/>
      <x:c r="J115"/>
    </x:row>
    <x:row r="116" ht="13.5" customHeight="1">
      <x:c r="G116"/>
      <x:c r="J116"/>
    </x:row>
    <x:row r="117" ht="13.5" customHeight="1">
      <x:c r="G117"/>
      <x:c r="J117"/>
    </x:row>
    <x:row r="118" ht="13.5" customHeight="1">
      <x:c r="G118"/>
      <x:c r="J118"/>
    </x:row>
    <x:row r="119" ht="13.5" customHeight="1">
      <x:c r="G119"/>
      <x:c r="J119"/>
    </x:row>
    <x:row r="120" ht="13.5" customHeight="1">
      <x:c r="G120"/>
      <x:c r="J120"/>
    </x:row>
    <x:row r="121" ht="13.5" customHeight="1">
      <x:c r="G121"/>
      <x:c r="J121"/>
    </x:row>
    <x:row r="122" ht="13.5" customHeight="1">
      <x:c r="G122"/>
      <x:c r="J122"/>
    </x:row>
    <x:row r="123" ht="13.5" customHeight="1">
      <x:c r="G123"/>
      <x:c r="J123"/>
    </x:row>
    <x:row r="124" ht="13.5" customHeight="1">
      <x:c r="G124"/>
      <x:c r="J124"/>
    </x:row>
    <x:row r="125" ht="13.5" customHeight="1">
      <x:c r="G125"/>
      <x:c r="J125"/>
    </x:row>
    <x:row r="126" ht="13.5" customHeight="1">
      <x:c r="G126"/>
      <x:c r="J126"/>
    </x:row>
    <x:row r="127" ht="13.5" customHeight="1">
      <x:c r="G127"/>
      <x:c r="J127"/>
    </x:row>
    <x:row r="128" ht="13.5" customHeight="1">
      <x:c r="G128"/>
      <x:c r="J128"/>
    </x:row>
    <x:row r="129" ht="13.5" customHeight="1">
      <x:c r="G129"/>
      <x:c r="J129"/>
    </x:row>
    <x:row r="130" ht="13.5" customHeight="1">
      <x:c r="G130"/>
      <x:c r="J130"/>
    </x:row>
    <x:row r="131" ht="13.5" customHeight="1">
      <x:c r="G131"/>
      <x:c r="J131"/>
    </x:row>
    <x:row r="132" ht="13.5" customHeight="1">
      <x:c r="G132"/>
      <x:c r="J132"/>
    </x:row>
    <x:row r="133" ht="13.5" customHeight="1">
      <x:c r="G133"/>
      <x:c r="J133"/>
    </x:row>
    <x:row r="134" ht="13.5" customHeight="1">
      <x:c r="G134"/>
      <x:c r="J134"/>
    </x:row>
    <x:row r="135" ht="13.5" customHeight="1">
      <x:c r="G135"/>
      <x:c r="J135"/>
    </x:row>
    <x:row r="136" ht="13.5" customHeight="1">
      <x:c r="G136"/>
      <x:c r="J136"/>
    </x:row>
    <x:row r="137" ht="13.5" customHeight="1">
      <x:c r="G137"/>
      <x:c r="J137"/>
    </x:row>
    <x:row r="138" ht="13.5" customHeight="1">
      <x:c r="G138"/>
      <x:c r="J138"/>
    </x:row>
    <x:row r="139" ht="13.5" customHeight="1">
      <x:c r="G139"/>
      <x:c r="J139"/>
    </x:row>
    <x:row r="140" ht="13.5" customHeight="1">
      <x:c r="G140"/>
      <x:c r="J140"/>
    </x:row>
    <x:row r="141" ht="13.5" customHeight="1">
      <x:c r="G141"/>
      <x:c r="J141"/>
    </x:row>
    <x:row r="142" ht="13.5" customHeight="1">
      <x:c r="G142"/>
      <x:c r="J142"/>
    </x:row>
    <x:row r="143" ht="13.5" customHeight="1">
      <x:c r="G143"/>
      <x:c r="J143"/>
    </x:row>
    <x:row r="144" ht="13.5" customHeight="1">
      <x:c r="G144"/>
      <x:c r="J144"/>
    </x:row>
    <x:row r="145" ht="13.5" customHeight="1">
      <x:c r="G145"/>
      <x:c r="J145"/>
    </x:row>
    <x:row r="146" ht="13.5" customHeight="1">
      <x:c r="G146"/>
      <x:c r="J146"/>
    </x:row>
    <x:row r="147" ht="13.5" customHeight="1">
      <x:c r="G147"/>
      <x:c r="J147"/>
    </x:row>
    <x:row r="148" ht="13.5" customHeight="1">
      <x:c r="G148"/>
      <x:c r="J148"/>
    </x:row>
    <x:row r="149" ht="13.5" customHeight="1">
      <x:c r="G149"/>
      <x:c r="J149"/>
    </x:row>
    <x:row r="150" ht="13.5" customHeight="1">
      <x:c r="G150"/>
      <x:c r="J150"/>
    </x:row>
    <x:row r="151" ht="13.5" customHeight="1">
      <x:c r="G151"/>
      <x:c r="J151"/>
    </x:row>
    <x:row r="152" ht="13.5" customHeight="1">
      <x:c r="G152"/>
      <x:c r="J152"/>
    </x:row>
    <x:row r="153" ht="13.5" customHeight="1">
      <x:c r="G153"/>
      <x:c r="J153"/>
    </x:row>
    <x:row r="154" ht="13.5" customHeight="1">
      <x:c r="G154"/>
      <x:c r="J154"/>
    </x:row>
    <x:row r="155" ht="13.5" customHeight="1">
      <x:c r="G155"/>
      <x:c r="J155"/>
    </x:row>
    <x:row r="156" ht="13.5" customHeight="1">
      <x:c r="G156"/>
      <x:c r="J156"/>
    </x:row>
    <x:row r="157" ht="13.5" customHeight="1">
      <x:c r="G157"/>
      <x:c r="J157"/>
    </x:row>
    <x:row r="158" ht="13.5" customHeight="1">
      <x:c r="G158"/>
      <x:c r="J158"/>
    </x:row>
    <x:row r="159" ht="13.5" customHeight="1">
      <x:c r="G159"/>
      <x:c r="J159"/>
    </x:row>
    <x:row r="160" ht="13.5" customHeight="1">
      <x:c r="G160"/>
      <x:c r="J160"/>
    </x:row>
    <x:row r="161" ht="13.5" customHeight="1">
      <x:c r="G161"/>
      <x:c r="J161"/>
    </x:row>
    <x:row r="162" ht="13.5" customHeight="1">
      <x:c r="G162"/>
      <x:c r="J162"/>
    </x:row>
    <x:row r="163" ht="13.5" customHeight="1">
      <x:c r="G163"/>
      <x:c r="J163"/>
    </x:row>
    <x:row r="164" ht="13.5" customHeight="1">
      <x:c r="G164"/>
      <x:c r="J164"/>
    </x:row>
    <x:row r="165" ht="13.5" customHeight="1">
      <x:c r="G165"/>
      <x:c r="J165"/>
    </x:row>
    <x:row r="166" ht="13.5" customHeight="1">
      <x:c r="G166"/>
      <x:c r="J166"/>
    </x:row>
    <x:row r="167" ht="13.5" customHeight="1">
      <x:c r="G167"/>
      <x:c r="J167"/>
    </x:row>
    <x:row r="168" ht="13.5" customHeight="1">
      <x:c r="G168"/>
      <x:c r="J168"/>
    </x:row>
    <x:row r="169" ht="13.5" customHeight="1">
      <x:c r="G169"/>
      <x:c r="J169"/>
    </x:row>
    <x:row r="170" ht="13.5" customHeight="1">
      <x:c r="G170"/>
      <x:c r="J170"/>
    </x:row>
    <x:row r="171" ht="13.5" customHeight="1">
      <x:c r="G171"/>
      <x:c r="J171"/>
    </x:row>
    <x:row r="172" ht="13.5" customHeight="1">
      <x:c r="G172"/>
      <x:c r="J172"/>
    </x:row>
    <x:row r="173" ht="13.5" customHeight="1">
      <x:c r="G173"/>
      <x:c r="J173"/>
    </x:row>
    <x:row r="174" ht="13.5" customHeight="1">
      <x:c r="G174"/>
      <x:c r="J174"/>
    </x:row>
    <x:row r="175" ht="13.5" customHeight="1">
      <x:c r="G175"/>
      <x:c r="J175"/>
    </x:row>
    <x:row r="176" ht="13.5" customHeight="1">
      <x:c r="G176"/>
      <x:c r="J176"/>
    </x:row>
    <x:row r="177" ht="13.5" customHeight="1">
      <x:c r="G177"/>
      <x:c r="J177"/>
    </x:row>
    <x:row r="178" ht="13.5" customHeight="1">
      <x:c r="G178"/>
      <x:c r="J178"/>
    </x:row>
    <x:row r="179" ht="13.5" customHeight="1">
      <x:c r="G179"/>
      <x:c r="J179"/>
    </x:row>
    <x:row r="180" ht="13.5" customHeight="1">
      <x:c r="G180"/>
      <x:c r="J180"/>
    </x:row>
    <x:row r="181" ht="13.5" customHeight="1">
      <x:c r="G181"/>
      <x:c r="J181"/>
    </x:row>
    <x:row r="182" ht="13.5" customHeight="1">
      <x:c r="G182"/>
      <x:c r="J182"/>
    </x:row>
    <x:row r="183" ht="13.5" customHeight="1">
      <x:c r="G183"/>
      <x:c r="J183"/>
    </x:row>
    <x:row r="184" ht="13.5" customHeight="1">
      <x:c r="G184"/>
      <x:c r="J184"/>
    </x:row>
    <x:row r="185" ht="13.5" customHeight="1">
      <x:c r="G185"/>
      <x:c r="J185"/>
    </x:row>
    <x:row r="186" ht="13.5" customHeight="1">
      <x:c r="G186"/>
      <x:c r="J186"/>
    </x:row>
    <x:row r="187" ht="13.5" customHeight="1">
      <x:c r="G187"/>
      <x:c r="J187"/>
    </x:row>
    <x:row r="188" ht="13.5" customHeight="1">
      <x:c r="G188"/>
      <x:c r="J188"/>
    </x:row>
    <x:row r="189" ht="13.5" customHeight="1">
      <x:c r="G189"/>
      <x:c r="J189"/>
    </x:row>
    <x:row r="190" ht="13.5" customHeight="1">
      <x:c r="G190"/>
      <x:c r="J190"/>
    </x:row>
    <x:row r="191" ht="13.5" customHeight="1">
      <x:c r="G191"/>
      <x:c r="J191"/>
    </x:row>
    <x:row r="192" ht="13.5" customHeight="1">
      <x:c r="G192"/>
      <x:c r="J192"/>
    </x:row>
    <x:row r="193" ht="13.5" customHeight="1">
      <x:c r="G193"/>
      <x:c r="J193"/>
    </x:row>
    <x:row r="194" ht="13.5" customHeight="1">
      <x:c r="G194"/>
      <x:c r="J194"/>
    </x:row>
    <x:row r="195" ht="13.5" customHeight="1">
      <x:c r="G195"/>
      <x:c r="J195"/>
    </x:row>
    <x:row r="196" ht="13.5" customHeight="1">
      <x:c r="G196"/>
      <x:c r="J196"/>
    </x:row>
    <x:row r="197" ht="13.5" customHeight="1">
      <x:c r="G197"/>
      <x:c r="J197"/>
    </x:row>
    <x:row r="198" ht="13.5" customHeight="1">
      <x:c r="G198"/>
      <x:c r="J198"/>
    </x:row>
    <x:row r="199" ht="13.5" customHeight="1">
      <x:c r="G199"/>
      <x:c r="J199"/>
    </x:row>
    <x:row r="200" ht="13.5" customHeight="1">
      <x:c r="G200"/>
      <x:c r="J200"/>
    </x:row>
    <x:row r="201" ht="13.5" customHeight="1">
      <x:c r="G201"/>
      <x:c r="J201"/>
    </x:row>
    <x:row r="202" ht="13.5" customHeight="1">
      <x:c r="G202"/>
      <x:c r="J202"/>
    </x:row>
    <x:row r="203" ht="13.5" customHeight="1">
      <x:c r="G203"/>
      <x:c r="J203"/>
    </x:row>
    <x:row r="204" ht="13.5" customHeight="1">
      <x:c r="G204"/>
      <x:c r="J204"/>
    </x:row>
    <x:row r="205" ht="13.5" customHeight="1">
      <x:c r="G205"/>
      <x:c r="J205"/>
    </x:row>
    <x:row r="206" ht="13.5" customHeight="1">
      <x:c r="G206"/>
      <x:c r="J206"/>
    </x:row>
    <x:row r="207" ht="13.5" customHeight="1">
      <x:c r="G207"/>
      <x:c r="J207"/>
    </x:row>
    <x:row r="208" ht="13.5" customHeight="1">
      <x:c r="G208"/>
      <x:c r="J208"/>
    </x:row>
    <x:row r="209" ht="13.5" customHeight="1">
      <x:c r="G209"/>
      <x:c r="J209"/>
    </x:row>
    <x:row r="210" ht="13.5" customHeight="1">
      <x:c r="G210"/>
      <x:c r="J210"/>
    </x:row>
    <x:row r="211" ht="13.5" customHeight="1">
      <x:c r="G211"/>
      <x:c r="J211"/>
    </x:row>
    <x:row r="212" ht="13.5" customHeight="1">
      <x:c r="G212"/>
      <x:c r="J212"/>
    </x:row>
    <x:row r="213" ht="13.5" customHeight="1">
      <x:c r="G213"/>
      <x:c r="J213"/>
    </x:row>
    <x:row r="214" ht="13.5" customHeight="1">
      <x:c r="G214"/>
      <x:c r="J214"/>
    </x:row>
    <x:row r="215" ht="13.5" customHeight="1">
      <x:c r="G215"/>
      <x:c r="J215"/>
    </x:row>
    <x:row r="216" ht="13.5" customHeight="1">
      <x:c r="G216"/>
      <x:c r="J216"/>
    </x:row>
    <x:row r="217" ht="13.5" customHeight="1">
      <x:c r="G217"/>
      <x:c r="J217"/>
    </x:row>
    <x:row r="218" ht="13.5" customHeight="1">
      <x:c r="G218"/>
      <x:c r="J218"/>
    </x:row>
    <x:row r="219" ht="13.5" customHeight="1">
      <x:c r="G219"/>
      <x:c r="J219"/>
    </x:row>
    <x:row r="220" ht="13.5" customHeight="1">
      <x:c r="G220"/>
      <x:c r="J220"/>
    </x:row>
    <x:row r="221" ht="13.5" customHeight="1">
      <x:c r="G221"/>
      <x:c r="J221"/>
    </x:row>
    <x:row r="222" ht="13.5" customHeight="1">
      <x:c r="G222"/>
      <x:c r="J222"/>
    </x:row>
    <x:row r="223" ht="13.5" customHeight="1">
      <x:c r="G223"/>
      <x:c r="J223"/>
    </x:row>
    <x:row r="224" ht="13.5" customHeight="1">
      <x:c r="G224"/>
      <x:c r="J224"/>
    </x:row>
    <x:row r="225" ht="13.5" customHeight="1">
      <x:c r="G225"/>
      <x:c r="J225"/>
    </x:row>
    <x:row r="226" ht="13.5" customHeight="1">
      <x:c r="G226"/>
      <x:c r="J226"/>
    </x:row>
    <x:row r="227" ht="13.5" customHeight="1">
      <x:c r="G227"/>
      <x:c r="J227"/>
    </x:row>
    <x:row r="228" ht="13.5" customHeight="1">
      <x:c r="G228"/>
      <x:c r="J228"/>
    </x:row>
    <x:row r="229" ht="13.5" customHeight="1">
      <x:c r="G229"/>
      <x:c r="J229"/>
    </x:row>
    <x:row r="230" ht="13.5" customHeight="1">
      <x:c r="G230"/>
      <x:c r="J230"/>
    </x:row>
    <x:row r="231" ht="13.5" customHeight="1">
      <x:c r="G231"/>
      <x:c r="J231"/>
    </x:row>
    <x:row r="232" ht="13.5" customHeight="1">
      <x:c r="G232"/>
      <x:c r="J232"/>
    </x:row>
    <x:row r="233" ht="13.5" customHeight="1">
      <x:c r="G233"/>
      <x:c r="J233"/>
    </x:row>
    <x:row r="234" ht="13.5" customHeight="1">
      <x:c r="G234"/>
      <x:c r="J234"/>
    </x:row>
    <x:row r="235" ht="13.5" customHeight="1">
      <x:c r="G235"/>
      <x:c r="J235"/>
    </x:row>
    <x:row r="236" ht="13.5" customHeight="1">
      <x:c r="G236"/>
      <x:c r="J236"/>
    </x:row>
    <x:row r="237" ht="13.5" customHeight="1">
      <x:c r="G237"/>
      <x:c r="J237"/>
    </x:row>
    <x:row r="238" ht="13.5" customHeight="1">
      <x:c r="G238"/>
      <x:c r="J238"/>
    </x:row>
    <x:row r="239" ht="13.5" customHeight="1">
      <x:c r="G239"/>
      <x:c r="J239"/>
    </x:row>
    <x:row r="240" ht="13.5" customHeight="1">
      <x:c r="G240"/>
      <x:c r="J240"/>
    </x:row>
    <x:row r="241" ht="13.5" customHeight="1">
      <x:c r="G241"/>
      <x:c r="J241"/>
    </x:row>
    <x:row r="242" ht="13.5" customHeight="1">
      <x:c r="G242"/>
      <x:c r="J242"/>
    </x:row>
    <x:row r="243" ht="13.5" customHeight="1">
      <x:c r="G243"/>
      <x:c r="J243"/>
    </x:row>
    <x:row r="244" ht="13.5" customHeight="1">
      <x:c r="G244"/>
      <x:c r="J244"/>
    </x:row>
    <x:row r="245" ht="13.5" customHeight="1">
      <x:c r="G245"/>
      <x:c r="J245"/>
    </x:row>
    <x:row r="246" ht="13.5" customHeight="1">
      <x:c r="G246"/>
      <x:c r="J246"/>
    </x:row>
    <x:row r="247" ht="13.5" customHeight="1">
      <x:c r="G247"/>
      <x:c r="J247"/>
    </x:row>
    <x:row r="248" ht="13.5" customHeight="1">
      <x:c r="G248"/>
      <x:c r="J248"/>
    </x:row>
    <x:row r="249" ht="13.5" customHeight="1">
      <x:c r="G249"/>
      <x:c r="J249"/>
    </x:row>
    <x:row r="250" ht="13.5" customHeight="1">
      <x:c r="G250"/>
      <x:c r="J250"/>
    </x:row>
    <x:row r="251" ht="13.5" customHeight="1">
      <x:c r="G251"/>
      <x:c r="J251"/>
    </x:row>
    <x:row r="252" ht="13.5" customHeight="1">
      <x:c r="G252"/>
      <x:c r="J252"/>
    </x:row>
    <x:row r="253" ht="13.5" customHeight="1">
      <x:c r="G253"/>
      <x:c r="J253"/>
    </x:row>
    <x:row r="254" ht="13.5" customHeight="1">
      <x:c r="G254"/>
      <x:c r="J254"/>
    </x:row>
    <x:row r="255" ht="13.5" customHeight="1">
      <x:c r="G255"/>
      <x:c r="J255"/>
    </x:row>
    <x:row r="256" ht="13.5" customHeight="1">
      <x:c r="G256"/>
      <x:c r="J256"/>
    </x:row>
    <x:row r="257" ht="13.5" customHeight="1">
      <x:c r="G257"/>
      <x:c r="J257"/>
    </x:row>
    <x:row r="258" ht="13.5" customHeight="1">
      <x:c r="G258"/>
      <x:c r="J258"/>
    </x:row>
    <x:row r="259" ht="13.5" customHeight="1">
      <x:c r="G259"/>
      <x:c r="J259"/>
    </x:row>
    <x:row r="260" ht="13.5" customHeight="1">
      <x:c r="G260"/>
      <x:c r="J260"/>
    </x:row>
    <x:row r="261" ht="13.5" customHeight="1">
      <x:c r="G261"/>
      <x:c r="J261"/>
    </x:row>
    <x:row r="262" ht="13.5" customHeight="1">
      <x:c r="G262"/>
      <x:c r="J262"/>
    </x:row>
    <x:row r="263" ht="13.5" customHeight="1">
      <x:c r="G263"/>
      <x:c r="J263"/>
    </x:row>
    <x:row r="264" ht="13.5" customHeight="1">
      <x:c r="G264"/>
      <x:c r="J264"/>
    </x:row>
    <x:row r="265" ht="13.5" customHeight="1">
      <x:c r="G265"/>
      <x:c r="J265"/>
    </x:row>
    <x:row r="266" ht="13.5" customHeight="1">
      <x:c r="G266"/>
      <x:c r="J266"/>
    </x:row>
    <x:row r="267" ht="13.5" customHeight="1">
      <x:c r="G267"/>
      <x:c r="J267"/>
    </x:row>
    <x:row r="268" ht="13.5" customHeight="1">
      <x:c r="G268"/>
      <x:c r="J268"/>
    </x:row>
    <x:row r="269" ht="13.5" customHeight="1">
      <x:c r="G269"/>
      <x:c r="J269"/>
    </x:row>
    <x:row r="270" ht="13.5" customHeight="1">
      <x:c r="G270"/>
      <x:c r="J270"/>
    </x:row>
    <x:row r="271" ht="13.5" customHeight="1">
      <x:c r="G271"/>
      <x:c r="J271"/>
    </x:row>
    <x:row r="272" ht="13.5" customHeight="1">
      <x:c r="G272"/>
      <x:c r="J272"/>
    </x:row>
    <x:row r="273" ht="13.5" customHeight="1">
      <x:c r="G273"/>
      <x:c r="J273"/>
    </x:row>
    <x:row r="274" ht="13.5" customHeight="1">
      <x:c r="G274"/>
      <x:c r="J274"/>
    </x:row>
    <x:row r="275" ht="13.5" customHeight="1">
      <x:c r="G275"/>
      <x:c r="J275"/>
    </x:row>
    <x:row r="276" ht="13.5" customHeight="1">
      <x:c r="G276"/>
      <x:c r="J276"/>
    </x:row>
    <x:row r="277" ht="13.5" customHeight="1">
      <x:c r="G277"/>
      <x:c r="J277"/>
    </x:row>
    <x:row r="278" ht="13.5" customHeight="1">
      <x:c r="G278"/>
      <x:c r="J278"/>
    </x:row>
    <x:row r="279" ht="13.5" customHeight="1">
      <x:c r="G279"/>
      <x:c r="J279"/>
    </x:row>
    <x:row r="280" ht="13.5" customHeight="1">
      <x:c r="G280"/>
      <x:c r="J280"/>
    </x:row>
    <x:row r="281" ht="13.5" customHeight="1">
      <x:c r="G281"/>
      <x:c r="J281"/>
    </x:row>
    <x:row r="282" ht="13.5" customHeight="1">
      <x:c r="G282"/>
      <x:c r="J282"/>
    </x:row>
    <x:row r="283" ht="13.5" customHeight="1">
      <x:c r="G283"/>
      <x:c r="J283"/>
    </x:row>
    <x:row r="284" ht="13.5" customHeight="1">
      <x:c r="G284"/>
      <x:c r="J284"/>
    </x:row>
    <x:row r="285" ht="13.5" customHeight="1">
      <x:c r="G285"/>
      <x:c r="J285"/>
    </x:row>
    <x:row r="286" ht="13.5" customHeight="1">
      <x:c r="G286"/>
      <x:c r="J286"/>
    </x:row>
    <x:row r="287" ht="13.5" customHeight="1">
      <x:c r="G287"/>
      <x:c r="J287"/>
    </x:row>
    <x:row r="288" ht="13.5" customHeight="1">
      <x:c r="G288"/>
      <x:c r="J288"/>
    </x:row>
    <x:row r="289" ht="13.5" customHeight="1">
      <x:c r="G289"/>
      <x:c r="J289"/>
    </x:row>
    <x:row r="290" ht="13.5" customHeight="1">
      <x:c r="G290"/>
      <x:c r="J290"/>
    </x:row>
    <x:row r="291" ht="13.5" customHeight="1">
      <x:c r="G291"/>
      <x:c r="J291"/>
    </x:row>
    <x:row r="292" ht="13.5" customHeight="1">
      <x:c r="G292"/>
      <x:c r="J292"/>
    </x:row>
    <x:row r="293" ht="13.5" customHeight="1">
      <x:c r="G293"/>
      <x:c r="J293"/>
    </x:row>
    <x:row r="294" ht="13.5" customHeight="1">
      <x:c r="G294"/>
      <x:c r="J294"/>
    </x:row>
    <x:row r="295" ht="13.5" customHeight="1">
      <x:c r="G295"/>
      <x:c r="J295"/>
    </x:row>
    <x:row r="296" ht="13.5" customHeight="1">
      <x:c r="G296"/>
      <x:c r="J296"/>
    </x:row>
    <x:row r="297" ht="13.5" customHeight="1">
      <x:c r="G297"/>
      <x:c r="J297"/>
    </x:row>
    <x:row r="298" ht="13.5" customHeight="1">
      <x:c r="G298"/>
      <x:c r="J298"/>
    </x:row>
    <x:row r="299" ht="13.5" customHeight="1">
      <x:c r="G299"/>
      <x:c r="J299"/>
    </x:row>
    <x:row r="300" ht="13.5" customHeight="1">
      <x:c r="G300"/>
      <x:c r="J300"/>
    </x:row>
    <x:row r="301" ht="13.5" customHeight="1">
      <x:c r="G301"/>
      <x:c r="J301"/>
    </x:row>
    <x:row r="302" ht="13.5" customHeight="1">
      <x:c r="G302"/>
      <x:c r="J302"/>
    </x:row>
    <x:row r="303" ht="13.5" customHeight="1">
      <x:c r="G303"/>
      <x:c r="J303"/>
    </x:row>
    <x:row r="304" ht="13.5" customHeight="1">
      <x:c r="G304"/>
      <x:c r="J304"/>
    </x:row>
    <x:row r="305" ht="13.5" customHeight="1">
      <x:c r="G305"/>
      <x:c r="J305"/>
    </x:row>
    <x:row r="306" ht="13.5" customHeight="1">
      <x:c r="G306"/>
      <x:c r="J306"/>
    </x:row>
    <x:row r="307" ht="13.5" customHeight="1">
      <x:c r="G307"/>
      <x:c r="J307"/>
    </x:row>
    <x:row r="308" ht="13.5" customHeight="1">
      <x:c r="G308"/>
      <x:c r="J308"/>
    </x:row>
    <x:row r="309" ht="13.5" customHeight="1">
      <x:c r="G309"/>
      <x:c r="J309"/>
    </x:row>
    <x:row r="310" ht="13.5" customHeight="1">
      <x:c r="G310"/>
      <x:c r="J310"/>
    </x:row>
    <x:row r="311" ht="13.5" customHeight="1">
      <x:c r="G311"/>
      <x:c r="J311"/>
    </x:row>
    <x:row r="312" ht="13.5" customHeight="1">
      <x:c r="G312"/>
      <x:c r="J312"/>
    </x:row>
    <x:row r="313" ht="13.5" customHeight="1">
      <x:c r="G313"/>
      <x:c r="J313"/>
    </x:row>
    <x:row r="314" ht="13.5" customHeight="1">
      <x:c r="G314"/>
      <x:c r="J314"/>
    </x:row>
    <x:row r="315" ht="13.5" customHeight="1">
      <x:c r="G315"/>
      <x:c r="J315"/>
    </x:row>
    <x:row r="316" ht="13.5" customHeight="1">
      <x:c r="G316"/>
      <x:c r="J316"/>
    </x:row>
    <x:row r="317" ht="13.5" customHeight="1">
      <x:c r="G317"/>
      <x:c r="J317"/>
    </x:row>
    <x:row r="318" ht="13.5" customHeight="1">
      <x:c r="G318"/>
      <x:c r="J318"/>
    </x:row>
    <x:row r="319" ht="13.5" customHeight="1">
      <x:c r="G319"/>
      <x:c r="J319"/>
    </x:row>
    <x:row r="320" ht="13.5" customHeight="1">
      <x:c r="G320"/>
      <x:c r="J320"/>
    </x:row>
    <x:row r="321" ht="13.5" customHeight="1">
      <x:c r="G321"/>
      <x:c r="J321"/>
    </x:row>
    <x:row r="322" ht="13.5" customHeight="1">
      <x:c r="G322"/>
      <x:c r="J322"/>
    </x:row>
    <x:row r="323" ht="13.5" customHeight="1">
      <x:c r="G323"/>
      <x:c r="J323"/>
    </x:row>
    <x:row r="324" ht="13.5" customHeight="1">
      <x:c r="G324"/>
      <x:c r="J324"/>
    </x:row>
    <x:row r="325" ht="13.5" customHeight="1">
      <x:c r="G325"/>
      <x:c r="J325"/>
    </x:row>
    <x:row r="326" ht="13.5" customHeight="1">
      <x:c r="G326"/>
      <x:c r="J326"/>
    </x:row>
    <x:row r="327" ht="13.5" customHeight="1">
      <x:c r="G327"/>
      <x:c r="J327"/>
    </x:row>
    <x:row r="328" ht="13.5" customHeight="1">
      <x:c r="G328"/>
      <x:c r="J328"/>
    </x:row>
    <x:row r="329" ht="13.5" customHeight="1">
      <x:c r="G329"/>
      <x:c r="J329"/>
    </x:row>
    <x:row r="330" ht="13.5" customHeight="1">
      <x:c r="G330"/>
      <x:c r="J330"/>
    </x:row>
    <x:row r="331" ht="13.5" customHeight="1">
      <x:c r="G331"/>
      <x:c r="J331"/>
    </x:row>
    <x:row r="332" ht="13.5" customHeight="1">
      <x:c r="G332"/>
      <x:c r="J332"/>
    </x:row>
    <x:row r="333" ht="13.5" customHeight="1">
      <x:c r="G333"/>
      <x:c r="J333"/>
    </x:row>
    <x:row r="334" ht="13.5" customHeight="1">
      <x:c r="G334"/>
      <x:c r="J334"/>
    </x:row>
    <x:row r="335" ht="13.5" customHeight="1">
      <x:c r="G335"/>
      <x:c r="J335"/>
    </x:row>
    <x:row r="336" ht="13.5" customHeight="1">
      <x:c r="G336"/>
      <x:c r="J336"/>
    </x:row>
    <x:row r="337" ht="13.5" customHeight="1">
      <x:c r="G337"/>
      <x:c r="J337"/>
    </x:row>
    <x:row r="338" ht="13.5" customHeight="1">
      <x:c r="G338"/>
      <x:c r="J338"/>
    </x:row>
    <x:row r="339" ht="13.5" customHeight="1">
      <x:c r="G339"/>
      <x:c r="J339"/>
    </x:row>
    <x:row r="340" ht="13.5" customHeight="1">
      <x:c r="G340"/>
      <x:c r="J340"/>
    </x:row>
    <x:row r="341" ht="13.5" customHeight="1">
      <x:c r="G341"/>
      <x:c r="J341"/>
    </x:row>
    <x:row r="342" ht="13.5" customHeight="1">
      <x:c r="G342"/>
      <x:c r="J342"/>
    </x:row>
    <x:row r="343" ht="13.5" customHeight="1">
      <x:c r="G343"/>
      <x:c r="J343"/>
    </x:row>
    <x:row r="344" ht="13.5" customHeight="1">
      <x:c r="G344"/>
      <x:c r="J344"/>
    </x:row>
    <x:row r="345" ht="13.5" customHeight="1">
      <x:c r="G345"/>
      <x:c r="J345"/>
    </x:row>
    <x:row r="346" ht="13.5" customHeight="1">
      <x:c r="G346"/>
      <x:c r="J346"/>
    </x:row>
    <x:row r="347" ht="13.5" customHeight="1">
      <x:c r="G347"/>
      <x:c r="J347"/>
    </x:row>
    <x:row r="348" ht="13.5" customHeight="1">
      <x:c r="G348"/>
      <x:c r="J348"/>
    </x:row>
    <x:row r="349" ht="13.5" customHeight="1">
      <x:c r="G349"/>
      <x:c r="J349"/>
    </x:row>
    <x:row r="350" ht="13.5" customHeight="1">
      <x:c r="G350"/>
      <x:c r="J350"/>
    </x:row>
    <x:row r="351" ht="13.5" customHeight="1">
      <x:c r="G351"/>
      <x:c r="J351"/>
    </x:row>
    <x:row r="352" ht="13.5" customHeight="1">
      <x:c r="G352"/>
      <x:c r="J352"/>
    </x:row>
    <x:row r="353" ht="13.5" customHeight="1">
      <x:c r="G353"/>
      <x:c r="J353"/>
    </x:row>
    <x:row r="354" ht="13.5" customHeight="1">
      <x:c r="G354"/>
      <x:c r="J354"/>
    </x:row>
    <x:row r="355" ht="13.5" customHeight="1">
      <x:c r="G355"/>
      <x:c r="J355"/>
    </x:row>
    <x:row r="356" ht="13.5" customHeight="1">
      <x:c r="G356"/>
      <x:c r="J356"/>
    </x:row>
    <x:row r="357" ht="13.5" customHeight="1">
      <x:c r="G357"/>
      <x:c r="J357"/>
    </x:row>
    <x:row r="358" ht="13.5" customHeight="1">
      <x:c r="G358"/>
      <x:c r="J358"/>
    </x:row>
    <x:row r="359" ht="13.5" customHeight="1">
      <x:c r="G359"/>
      <x:c r="J359"/>
    </x:row>
    <x:row r="360" ht="13.5" customHeight="1">
      <x:c r="G360"/>
      <x:c r="J360"/>
    </x:row>
    <x:row r="361" ht="13.5" customHeight="1">
      <x:c r="G361"/>
      <x:c r="J361"/>
    </x:row>
    <x:row r="362" ht="13.5" customHeight="1">
      <x:c r="G362"/>
      <x:c r="J362"/>
    </x:row>
    <x:row r="363" ht="13.5" customHeight="1">
      <x:c r="G363"/>
      <x:c r="J363"/>
    </x:row>
    <x:row r="364" ht="13.5" customHeight="1">
      <x:c r="G364"/>
      <x:c r="J364"/>
    </x:row>
    <x:row r="365" ht="13.5" customHeight="1">
      <x:c r="G365"/>
      <x:c r="J365"/>
    </x:row>
    <x:row r="366" ht="13.5" customHeight="1">
      <x:c r="G366"/>
      <x:c r="J366"/>
    </x:row>
    <x:row r="367" ht="13.5" customHeight="1">
      <x:c r="G367"/>
      <x:c r="J367"/>
    </x:row>
    <x:row r="368" ht="13.5" customHeight="1">
      <x:c r="G368"/>
      <x:c r="J368"/>
    </x:row>
    <x:row r="369" ht="13.5" customHeight="1">
      <x:c r="G369"/>
      <x:c r="J369"/>
    </x:row>
    <x:row r="370" ht="13.5" customHeight="1">
      <x:c r="G370"/>
      <x:c r="J370"/>
    </x:row>
    <x:row r="371" ht="13.5" customHeight="1">
      <x:c r="G371"/>
      <x:c r="J371"/>
    </x:row>
    <x:row r="372" ht="13.5" customHeight="1">
      <x:c r="G372"/>
      <x:c r="J372"/>
    </x:row>
    <x:row r="373" ht="13.5" customHeight="1">
      <x:c r="G373"/>
      <x:c r="J373"/>
    </x:row>
    <x:row r="374" ht="13.5" customHeight="1">
      <x:c r="G374"/>
      <x:c r="J374"/>
    </x:row>
    <x:row r="375" ht="13.5" customHeight="1">
      <x:c r="G375"/>
      <x:c r="J375"/>
    </x:row>
    <x:row r="376" ht="13.5" customHeight="1">
      <x:c r="G376"/>
      <x:c r="J376"/>
    </x:row>
    <x:row r="377" ht="13.5" customHeight="1">
      <x:c r="G377"/>
      <x:c r="J377"/>
    </x:row>
    <x:row r="378" ht="13.5" customHeight="1">
      <x:c r="G378"/>
      <x:c r="J378"/>
    </x:row>
    <x:row r="379" ht="13.5" customHeight="1">
      <x:c r="G379"/>
      <x:c r="J379"/>
    </x:row>
    <x:row r="380" ht="13.5" customHeight="1">
      <x:c r="G380"/>
      <x:c r="J380"/>
    </x:row>
    <x:row r="381" ht="13.5" customHeight="1">
      <x:c r="G381"/>
      <x:c r="J381"/>
    </x:row>
    <x:row r="382" ht="13.5" customHeight="1">
      <x:c r="G382"/>
      <x:c r="J382"/>
    </x:row>
    <x:row r="383" ht="13.5" customHeight="1">
      <x:c r="G383"/>
      <x:c r="J383"/>
    </x:row>
    <x:row r="384" ht="13.5" customHeight="1">
      <x:c r="G384"/>
      <x:c r="J384"/>
    </x:row>
    <x:row r="385" ht="13.5" customHeight="1">
      <x:c r="G385"/>
      <x:c r="J385"/>
    </x:row>
    <x:row r="386" ht="13.5" customHeight="1">
      <x:c r="G386"/>
      <x:c r="J386"/>
    </x:row>
    <x:row r="387" ht="13.5" customHeight="1">
      <x:c r="G387"/>
      <x:c r="J387"/>
    </x:row>
    <x:row r="388" ht="13.5" customHeight="1">
      <x:c r="G388"/>
      <x:c r="J388"/>
    </x:row>
    <x:row r="389" ht="13.5" customHeight="1">
      <x:c r="G389"/>
      <x:c r="J389"/>
    </x:row>
    <x:row r="390" ht="13.5" customHeight="1">
      <x:c r="G390"/>
      <x:c r="J390"/>
    </x:row>
    <x:row r="391" ht="13.5" customHeight="1">
      <x:c r="G391"/>
      <x:c r="J391"/>
    </x:row>
    <x:row r="392" ht="13.5" customHeight="1">
      <x:c r="G392"/>
      <x:c r="J392"/>
    </x:row>
    <x:row r="393" ht="13.5" customHeight="1">
      <x:c r="G393"/>
      <x:c r="J393"/>
    </x:row>
    <x:row r="394" ht="13.5" customHeight="1">
      <x:c r="G394"/>
      <x:c r="J394"/>
    </x:row>
    <x:row r="395" ht="13.5" customHeight="1">
      <x:c r="G395"/>
      <x:c r="J395"/>
    </x:row>
    <x:row r="396" ht="13.5" customHeight="1">
      <x:c r="G396"/>
      <x:c r="J396"/>
    </x:row>
    <x:row r="397" ht="13.5" customHeight="1">
      <x:c r="G397"/>
      <x:c r="J397"/>
    </x:row>
    <x:row r="398" ht="13.5" customHeight="1">
      <x:c r="G398"/>
      <x:c r="J398"/>
    </x:row>
    <x:row r="399" ht="13.5" customHeight="1">
      <x:c r="G399"/>
      <x:c r="J399"/>
    </x:row>
    <x:row r="400" ht="13.5" customHeight="1">
      <x:c r="G400"/>
      <x:c r="J400"/>
    </x:row>
    <x:row r="401" ht="13.5" customHeight="1">
      <x:c r="G401"/>
      <x:c r="J401"/>
    </x:row>
    <x:row r="402" ht="13.5" customHeight="1">
      <x:c r="G402"/>
      <x:c r="J402"/>
    </x:row>
    <x:row r="403" ht="13.5" customHeight="1">
      <x:c r="G403"/>
      <x:c r="J403"/>
    </x:row>
    <x:row r="404" ht="13.5" customHeight="1">
      <x:c r="G404"/>
      <x:c r="J404"/>
    </x:row>
    <x:row r="405" ht="13.5" customHeight="1">
      <x:c r="G405"/>
      <x:c r="J405"/>
    </x:row>
    <x:row r="406" ht="13.5" customHeight="1">
      <x:c r="G406"/>
      <x:c r="J406"/>
    </x:row>
    <x:row r="407" ht="13.5" customHeight="1">
      <x:c r="G407"/>
      <x:c r="J407"/>
    </x:row>
    <x:row r="408" ht="13.5" customHeight="1">
      <x:c r="G408"/>
      <x:c r="J408"/>
    </x:row>
    <x:row r="409" ht="13.5" customHeight="1">
      <x:c r="G409"/>
      <x:c r="J409"/>
    </x:row>
    <x:row r="410" ht="13.5" customHeight="1">
      <x:c r="G410"/>
      <x:c r="J410"/>
    </x:row>
    <x:row r="411" ht="13.5" customHeight="1">
      <x:c r="G411"/>
      <x:c r="J411"/>
    </x:row>
    <x:row r="412" ht="13.5" customHeight="1">
      <x:c r="G412"/>
      <x:c r="J412"/>
    </x:row>
    <x:row r="413" ht="13.5" customHeight="1">
      <x:c r="G413"/>
      <x:c r="J413"/>
    </x:row>
    <x:row r="414" ht="13.5" customHeight="1">
      <x:c r="G414"/>
      <x:c r="J414"/>
    </x:row>
    <x:row r="415" ht="13.5" customHeight="1">
      <x:c r="G415"/>
      <x:c r="J415"/>
    </x:row>
    <x:row r="416" ht="13.5" customHeight="1">
      <x:c r="G416"/>
      <x:c r="J416"/>
    </x:row>
    <x:row r="417" ht="13.5" customHeight="1">
      <x:c r="G417"/>
      <x:c r="J417"/>
    </x:row>
    <x:row r="418" ht="13.5" customHeight="1">
      <x:c r="G418"/>
      <x:c r="J418"/>
    </x:row>
    <x:row r="419" ht="13.5" customHeight="1">
      <x:c r="G419"/>
      <x:c r="J419"/>
    </x:row>
    <x:row r="420" ht="13.5" customHeight="1">
      <x:c r="G420"/>
      <x:c r="J420"/>
    </x:row>
    <x:row r="421" ht="13.5" customHeight="1">
      <x:c r="G421"/>
      <x:c r="J421"/>
    </x:row>
    <x:row r="422" ht="13.5" customHeight="1">
      <x:c r="G422"/>
      <x:c r="J422"/>
    </x:row>
    <x:row r="423" ht="13.5" customHeight="1">
      <x:c r="G423"/>
      <x:c r="J423"/>
    </x:row>
    <x:row r="424" ht="13.5" customHeight="1">
      <x:c r="G424"/>
      <x:c r="J424"/>
    </x:row>
    <x:row r="425" ht="13.5" customHeight="1">
      <x:c r="G425"/>
      <x:c r="J425"/>
    </x:row>
    <x:row r="426" ht="13.5" customHeight="1">
      <x:c r="G426"/>
      <x:c r="J426"/>
    </x:row>
    <x:row r="427" ht="13.5" customHeight="1">
      <x:c r="G427"/>
      <x:c r="J427"/>
    </x:row>
    <x:row r="428" ht="13.5" customHeight="1">
      <x:c r="G428"/>
      <x:c r="J428"/>
    </x:row>
    <x:row r="429" ht="13.5" customHeight="1">
      <x:c r="G429"/>
      <x:c r="J429"/>
    </x:row>
    <x:row r="430" ht="13.5" customHeight="1">
      <x:c r="G430"/>
      <x:c r="J430"/>
    </x:row>
    <x:row r="431" ht="13.5" customHeight="1">
      <x:c r="G431"/>
      <x:c r="J431"/>
    </x:row>
    <x:row r="432" ht="13.5" customHeight="1">
      <x:c r="G432"/>
      <x:c r="J432"/>
    </x:row>
    <x:row r="433" ht="13.5" customHeight="1">
      <x:c r="G433"/>
      <x:c r="J433"/>
    </x:row>
    <x:row r="434" ht="13.5" customHeight="1">
      <x:c r="G434"/>
      <x:c r="J434"/>
    </x:row>
    <x:row r="435" ht="13.5" customHeight="1">
      <x:c r="G435"/>
      <x:c r="J435"/>
    </x:row>
    <x:row r="436" ht="13.5" customHeight="1">
      <x:c r="G436"/>
      <x:c r="J436"/>
    </x:row>
    <x:row r="437" ht="13.5" customHeight="1">
      <x:c r="G437"/>
      <x:c r="J437"/>
    </x:row>
    <x:row r="438" ht="13.5" customHeight="1">
      <x:c r="G438"/>
      <x:c r="J438"/>
    </x:row>
    <x:row r="439" ht="13.5" customHeight="1">
      <x:c r="G439"/>
      <x:c r="J439"/>
    </x:row>
    <x:row r="440" ht="13.5" customHeight="1">
      <x:c r="G440"/>
      <x:c r="J440"/>
    </x:row>
    <x:row r="441" ht="13.5" customHeight="1">
      <x:c r="G441"/>
      <x:c r="J441"/>
    </x:row>
    <x:row r="442" ht="13.5" customHeight="1">
      <x:c r="G442"/>
      <x:c r="J442"/>
    </x:row>
    <x:row r="443" ht="13.5" customHeight="1">
      <x:c r="G443"/>
      <x:c r="J443"/>
    </x:row>
    <x:row r="444" ht="13.5" customHeight="1">
      <x:c r="G444"/>
      <x:c r="J444"/>
    </x:row>
    <x:row r="445" ht="13.5" customHeight="1">
      <x:c r="G445"/>
      <x:c r="J445"/>
    </x:row>
    <x:row r="446" ht="13.5" customHeight="1">
      <x:c r="G446"/>
      <x:c r="J446"/>
    </x:row>
    <x:row r="447" ht="13.5" customHeight="1">
      <x:c r="G447"/>
      <x:c r="J447"/>
    </x:row>
    <x:row r="448" ht="13.5" customHeight="1">
      <x:c r="G448"/>
      <x:c r="J448"/>
    </x:row>
    <x:row r="449" ht="13.5" customHeight="1">
      <x:c r="G449"/>
      <x:c r="J449"/>
    </x:row>
    <x:row r="450" ht="13.5" customHeight="1">
      <x:c r="G450"/>
      <x:c r="J450"/>
    </x:row>
    <x:row r="451" ht="13.5" customHeight="1">
      <x:c r="G451"/>
      <x:c r="J451"/>
    </x:row>
    <x:row r="452" ht="13.5" customHeight="1">
      <x:c r="G452"/>
      <x:c r="J452"/>
    </x:row>
    <x:row r="453" ht="13.5" customHeight="1">
      <x:c r="G453"/>
      <x:c r="J453"/>
    </x:row>
    <x:row r="454" ht="13.5" customHeight="1">
      <x:c r="G454"/>
      <x:c r="J454"/>
    </x:row>
    <x:row r="455" ht="13.5" customHeight="1">
      <x:c r="G455"/>
      <x:c r="J455"/>
    </x:row>
    <x:row r="456" ht="13.5" customHeight="1">
      <x:c r="G456"/>
      <x:c r="J456"/>
    </x:row>
    <x:row r="457" ht="13.5" customHeight="1">
      <x:c r="G457"/>
      <x:c r="J457"/>
    </x:row>
    <x:row r="458" ht="13.5" customHeight="1">
      <x:c r="G458"/>
      <x:c r="J458"/>
    </x:row>
    <x:row r="459" ht="13.5" customHeight="1">
      <x:c r="G459"/>
      <x:c r="J459"/>
    </x:row>
    <x:row r="460" ht="13.5" customHeight="1">
      <x:c r="G460"/>
      <x:c r="J460"/>
    </x:row>
    <x:row r="461" ht="13.5" customHeight="1">
      <x:c r="G461"/>
      <x:c r="J461"/>
    </x:row>
    <x:row r="462" ht="13.5" customHeight="1">
      <x:c r="G462"/>
      <x:c r="J462"/>
    </x:row>
    <x:row r="463" ht="13.5" customHeight="1">
      <x:c r="G463"/>
      <x:c r="J463"/>
    </x:row>
    <x:row r="464" ht="13.5" customHeight="1">
      <x:c r="G464"/>
      <x:c r="J464"/>
    </x:row>
    <x:row r="465" ht="13.5" customHeight="1">
      <x:c r="G465"/>
      <x:c r="J465"/>
    </x:row>
    <x:row r="466" ht="13.5" customHeight="1">
      <x:c r="G466"/>
      <x:c r="J466"/>
    </x:row>
    <x:row r="467" ht="13.5" customHeight="1">
      <x:c r="G467"/>
      <x:c r="J467"/>
    </x:row>
    <x:row r="468" ht="13.5" customHeight="1">
      <x:c r="G468"/>
      <x:c r="J468"/>
    </x:row>
    <x:row r="469" ht="13.5" customHeight="1">
      <x:c r="G469"/>
      <x:c r="J469"/>
    </x:row>
    <x:row r="470" ht="13.5" customHeight="1">
      <x:c r="G470"/>
      <x:c r="J470"/>
    </x:row>
    <x:row r="471" ht="13.5" customHeight="1">
      <x:c r="G471"/>
      <x:c r="J471"/>
    </x:row>
    <x:row r="472" ht="13.5" customHeight="1">
      <x:c r="G472"/>
      <x:c r="J472"/>
    </x:row>
    <x:row r="473" ht="13.5" customHeight="1">
      <x:c r="G473"/>
      <x:c r="J473"/>
    </x:row>
    <x:row r="474" ht="13.5" customHeight="1">
      <x:c r="G474"/>
      <x:c r="J474"/>
    </x:row>
    <x:row r="475" ht="13.5" customHeight="1">
      <x:c r="G475"/>
      <x:c r="J475"/>
    </x:row>
    <x:row r="476" ht="13.5" customHeight="1">
      <x:c r="G476"/>
      <x:c r="J476"/>
    </x:row>
    <x:row r="477" ht="13.5" customHeight="1">
      <x:c r="G477"/>
      <x:c r="J477"/>
    </x:row>
    <x:row r="478" ht="13.5" customHeight="1">
      <x:c r="G478"/>
      <x:c r="J478"/>
    </x:row>
    <x:row r="479" ht="13.5" customHeight="1">
      <x:c r="G479"/>
      <x:c r="J479"/>
    </x:row>
    <x:row r="480" ht="13.5" customHeight="1">
      <x:c r="G480"/>
      <x:c r="J480"/>
    </x:row>
    <x:row r="481" ht="13.5" customHeight="1">
      <x:c r="G481"/>
      <x:c r="J481"/>
    </x:row>
    <x:row r="482" ht="13.5" customHeight="1">
      <x:c r="G482"/>
      <x:c r="J482"/>
    </x:row>
    <x:row r="483" ht="13.5" customHeight="1">
      <x:c r="G483"/>
      <x:c r="J483"/>
    </x:row>
    <x:row r="484" ht="13.5" customHeight="1">
      <x:c r="G484"/>
      <x:c r="J484"/>
    </x:row>
    <x:row r="485" ht="13.5" customHeight="1">
      <x:c r="G485"/>
      <x:c r="J485"/>
    </x:row>
    <x:row r="486" ht="13.5" customHeight="1">
      <x:c r="G486"/>
      <x:c r="J486"/>
    </x:row>
    <x:row r="487" ht="13.5" customHeight="1">
      <x:c r="G487"/>
      <x:c r="J487"/>
    </x:row>
    <x:row r="488" ht="13.5" customHeight="1">
      <x:c r="G488"/>
      <x:c r="J488"/>
    </x:row>
    <x:row r="489" ht="13.5" customHeight="1">
      <x:c r="G489"/>
      <x:c r="J489"/>
    </x:row>
    <x:row r="490" ht="13.5" customHeight="1">
      <x:c r="G490"/>
      <x:c r="J490"/>
    </x:row>
    <x:row r="491" ht="13.5" customHeight="1">
      <x:c r="G491"/>
      <x:c r="J491"/>
    </x:row>
    <x:row r="492" ht="13.5" customHeight="1">
      <x:c r="G492"/>
      <x:c r="J492"/>
    </x:row>
    <x:row r="493" ht="13.5" customHeight="1">
      <x:c r="G493"/>
      <x:c r="J493"/>
    </x:row>
    <x:row r="494" ht="13.5" customHeight="1">
      <x:c r="G494"/>
      <x:c r="J494"/>
    </x:row>
    <x:row r="495" ht="13.5" customHeight="1">
      <x:c r="G495"/>
      <x:c r="J495"/>
    </x:row>
    <x:row r="496" ht="13.5" customHeight="1">
      <x:c r="G496"/>
      <x:c r="J496"/>
    </x:row>
    <x:row r="497" ht="13.5" customHeight="1">
      <x:c r="G497"/>
      <x:c r="J497"/>
    </x:row>
    <x:row r="498" ht="13.5" customHeight="1">
      <x:c r="G498"/>
      <x:c r="J498"/>
    </x:row>
    <x:row r="499" ht="13.5" customHeight="1">
      <x:c r="G499"/>
      <x:c r="J499"/>
    </x:row>
    <x:row r="500" ht="13.5" customHeight="1">
      <x:c r="G500"/>
      <x:c r="J500"/>
    </x:row>
    <x:row r="501" ht="13.5" customHeight="1">
      <x:c r="G501"/>
      <x:c r="J501"/>
    </x:row>
    <x:row r="502" ht="13.5" customHeight="1">
      <x:c r="G502"/>
      <x:c r="J502"/>
    </x:row>
    <x:row r="503" ht="13.5" customHeight="1">
      <x:c r="G503"/>
      <x:c r="J503"/>
    </x:row>
    <x:row r="504" ht="13.5" customHeight="1">
      <x:c r="G504"/>
      <x:c r="J504"/>
    </x:row>
    <x:row r="505" ht="13.5" customHeight="1">
      <x:c r="G505"/>
      <x:c r="J505"/>
    </x:row>
    <x:row r="506" ht="13.5" customHeight="1">
      <x:c r="G506"/>
      <x:c r="J506"/>
    </x:row>
    <x:row r="507" ht="13.5" customHeight="1">
      <x:c r="G507"/>
      <x:c r="J507"/>
    </x:row>
    <x:row r="508" ht="13.5" customHeight="1">
      <x:c r="G508"/>
      <x:c r="J508"/>
    </x:row>
    <x:row r="509" ht="13.5" customHeight="1">
      <x:c r="G509"/>
      <x:c r="J509"/>
    </x:row>
    <x:row r="510" ht="13.5" customHeight="1">
      <x:c r="G510"/>
      <x:c r="J510"/>
    </x:row>
    <x:row r="511" ht="13.5" customHeight="1">
      <x:c r="G511"/>
      <x:c r="J511"/>
    </x:row>
    <x:row r="512" ht="13.5" customHeight="1">
      <x:c r="G512"/>
      <x:c r="J512"/>
    </x:row>
    <x:row r="513" ht="13.5" customHeight="1">
      <x:c r="G513"/>
      <x:c r="J513"/>
    </x:row>
    <x:row r="514" ht="13.5" customHeight="1">
      <x:c r="G514"/>
      <x:c r="J514"/>
    </x:row>
    <x:row r="515" ht="13.5" customHeight="1">
      <x:c r="G515"/>
      <x:c r="J515"/>
    </x:row>
    <x:row r="516" ht="13.5" customHeight="1">
      <x:c r="G516"/>
      <x:c r="J516"/>
    </x:row>
    <x:row r="517" ht="13.5" customHeight="1">
      <x:c r="G517"/>
      <x:c r="J517"/>
    </x:row>
    <x:row r="518" ht="13.5" customHeight="1">
      <x:c r="G518"/>
      <x:c r="J518"/>
    </x:row>
    <x:row r="519" ht="13.5" customHeight="1">
      <x:c r="G519"/>
      <x:c r="J519"/>
    </x:row>
    <x:row r="520" ht="13.5" customHeight="1">
      <x:c r="G520"/>
      <x:c r="J520"/>
    </x:row>
    <x:row r="521" ht="13.5" customHeight="1">
      <x:c r="G521"/>
      <x:c r="J521"/>
    </x:row>
    <x:row r="522" ht="13.5" customHeight="1">
      <x:c r="G522"/>
      <x:c r="J522"/>
    </x:row>
    <x:row r="523" ht="13.5" customHeight="1">
      <x:c r="G523"/>
      <x:c r="J523"/>
    </x:row>
    <x:row r="524" ht="13.5" customHeight="1">
      <x:c r="G524"/>
      <x:c r="J524"/>
    </x:row>
    <x:row r="525" ht="13.5" customHeight="1">
      <x:c r="G525"/>
      <x:c r="J525"/>
    </x:row>
    <x:row r="526" ht="13.5" customHeight="1">
      <x:c r="G526"/>
      <x:c r="J526"/>
    </x:row>
    <x:row r="527" ht="13.5" customHeight="1">
      <x:c r="G527"/>
      <x:c r="J527"/>
    </x:row>
    <x:row r="528" ht="13.5" customHeight="1">
      <x:c r="G528"/>
      <x:c r="J528"/>
    </x:row>
    <x:row r="529" ht="13.5" customHeight="1">
      <x:c r="G529"/>
      <x:c r="J529"/>
    </x:row>
    <x:row r="530" ht="13.5" customHeight="1">
      <x:c r="G530"/>
      <x:c r="J530"/>
    </x:row>
    <x:row r="531" ht="13.5" customHeight="1">
      <x:c r="G531"/>
      <x:c r="J531"/>
    </x:row>
    <x:row r="532" ht="13.5" customHeight="1">
      <x:c r="G532"/>
      <x:c r="J532"/>
    </x:row>
    <x:row r="533" ht="13.5" customHeight="1">
      <x:c r="G533"/>
      <x:c r="J533"/>
    </x:row>
    <x:row r="534" ht="13.5" customHeight="1">
      <x:c r="G534"/>
      <x:c r="J534"/>
    </x:row>
    <x:row r="535" ht="13.5" customHeight="1">
      <x:c r="G535"/>
      <x:c r="J535"/>
    </x:row>
    <x:row r="536" ht="13.5" customHeight="1">
      <x:c r="G536"/>
      <x:c r="J536"/>
    </x:row>
    <x:row r="537" ht="13.5" customHeight="1">
      <x:c r="G537"/>
      <x:c r="J537"/>
    </x:row>
    <x:row r="538" ht="13.5" customHeight="1">
      <x:c r="G538"/>
      <x:c r="J538"/>
    </x:row>
    <x:row r="539" ht="13.5" customHeight="1">
      <x:c r="G539"/>
      <x:c r="J539"/>
    </x:row>
    <x:row r="540" ht="13.5" customHeight="1">
      <x:c r="G540"/>
      <x:c r="J540"/>
    </x:row>
    <x:row r="541" ht="13.5" customHeight="1">
      <x:c r="G541"/>
      <x:c r="J541"/>
    </x:row>
    <x:row r="542" ht="13.5" customHeight="1">
      <x:c r="G542"/>
      <x:c r="J542"/>
    </x:row>
    <x:row r="543" ht="13.5" customHeight="1">
      <x:c r="G543"/>
      <x:c r="J543"/>
    </x:row>
    <x:row r="544" ht="13.5" customHeight="1">
      <x:c r="G544"/>
      <x:c r="J544"/>
    </x:row>
    <x:row r="545" ht="13.5" customHeight="1">
      <x:c r="G545"/>
      <x:c r="J545"/>
    </x:row>
    <x:row r="546" ht="13.5" customHeight="1">
      <x:c r="G546"/>
      <x:c r="J546"/>
    </x:row>
    <x:row r="547" ht="13.5" customHeight="1">
      <x:c r="G547"/>
      <x:c r="J547"/>
    </x:row>
    <x:row r="548" ht="13.5" customHeight="1">
      <x:c r="G548"/>
      <x:c r="J548"/>
    </x:row>
    <x:row r="549" ht="13.5" customHeight="1">
      <x:c r="G549"/>
      <x:c r="J549"/>
    </x:row>
    <x:row r="550" ht="13.5" customHeight="1">
      <x:c r="G550"/>
      <x:c r="J550"/>
    </x:row>
    <x:row r="551" ht="13.5" customHeight="1">
      <x:c r="G551"/>
      <x:c r="J551"/>
    </x:row>
    <x:row r="552" ht="13.5" customHeight="1">
      <x:c r="G552"/>
      <x:c r="J552"/>
    </x:row>
    <x:row r="553" ht="13.5" customHeight="1">
      <x:c r="G553"/>
      <x:c r="J553"/>
    </x:row>
    <x:row r="554" ht="13.5" customHeight="1">
      <x:c r="G554"/>
      <x:c r="J554"/>
    </x:row>
    <x:row r="555" ht="13.5" customHeight="1">
      <x:c r="G555"/>
      <x:c r="J555"/>
    </x:row>
    <x:row r="556" ht="13.5" customHeight="1">
      <x:c r="G556"/>
      <x:c r="J556"/>
    </x:row>
    <x:row r="557" ht="13.5" customHeight="1">
      <x:c r="G557"/>
      <x:c r="J557"/>
    </x:row>
    <x:row r="558" ht="13.5" customHeight="1">
      <x:c r="G558"/>
      <x:c r="J558"/>
    </x:row>
    <x:row r="559" ht="13.5" customHeight="1">
      <x:c r="G559"/>
      <x:c r="J559"/>
    </x:row>
    <x:row r="560" ht="13.5" customHeight="1">
      <x:c r="G560"/>
      <x:c r="J560"/>
    </x:row>
    <x:row r="561" ht="13.5" customHeight="1">
      <x:c r="G561"/>
      <x:c r="J561"/>
    </x:row>
    <x:row r="562" ht="13.5" customHeight="1">
      <x:c r="G562"/>
      <x:c r="J562"/>
    </x:row>
    <x:row r="563" ht="13.5" customHeight="1">
      <x:c r="G563"/>
      <x:c r="J563"/>
    </x:row>
    <x:row r="564" ht="13.5" customHeight="1">
      <x:c r="G564"/>
      <x:c r="J564"/>
    </x:row>
    <x:row r="565" ht="13.5" customHeight="1">
      <x:c r="G565"/>
      <x:c r="J565"/>
    </x:row>
    <x:row r="566" ht="13.5" customHeight="1">
      <x:c r="G566"/>
      <x:c r="J566"/>
    </x:row>
    <x:row r="567" ht="13.5" customHeight="1">
      <x:c r="G567"/>
      <x:c r="J567"/>
    </x:row>
    <x:row r="568" ht="13.5" customHeight="1">
      <x:c r="G568"/>
      <x:c r="J568"/>
    </x:row>
    <x:row r="569" ht="13.5" customHeight="1">
      <x:c r="G569"/>
      <x:c r="J569"/>
    </x:row>
    <x:row r="570" ht="13.5" customHeight="1">
      <x:c r="G570"/>
      <x:c r="J570"/>
    </x:row>
    <x:row r="571" ht="13.5" customHeight="1">
      <x:c r="G571"/>
      <x:c r="J571"/>
    </x:row>
    <x:row r="572" ht="13.5" customHeight="1">
      <x:c r="G572"/>
      <x:c r="J572"/>
    </x:row>
    <x:row r="573" ht="13.5" customHeight="1">
      <x:c r="G573"/>
      <x:c r="J573"/>
    </x:row>
    <x:row r="574" ht="13.5" customHeight="1">
      <x:c r="G574"/>
      <x:c r="J574"/>
    </x:row>
    <x:row r="575" ht="13.5" customHeight="1">
      <x:c r="G575"/>
      <x:c r="J575"/>
    </x:row>
    <x:row r="576" ht="13.5" customHeight="1">
      <x:c r="G576"/>
      <x:c r="J576"/>
    </x:row>
    <x:row r="577" ht="13.5" customHeight="1">
      <x:c r="G577"/>
      <x:c r="J577"/>
    </x:row>
    <x:row r="578" ht="13.5" customHeight="1">
      <x:c r="G578"/>
      <x:c r="J578"/>
    </x:row>
    <x:row r="579" ht="13.5" customHeight="1">
      <x:c r="G579"/>
      <x:c r="J579"/>
    </x:row>
    <x:row r="580" ht="13.5" customHeight="1">
      <x:c r="G580"/>
      <x:c r="J580"/>
    </x:row>
    <x:row r="581" ht="13.5" customHeight="1">
      <x:c r="G581"/>
      <x:c r="J581"/>
    </x:row>
    <x:row r="582" ht="13.5" customHeight="1">
      <x:c r="G582"/>
      <x:c r="J582"/>
    </x:row>
    <x:row r="583" ht="13.5" customHeight="1">
      <x:c r="G583"/>
      <x:c r="J583"/>
    </x:row>
    <x:row r="584" ht="13.5" customHeight="1">
      <x:c r="G584"/>
      <x:c r="J584"/>
    </x:row>
    <x:row r="585" ht="13.5" customHeight="1">
      <x:c r="G585"/>
      <x:c r="J585"/>
    </x:row>
    <x:row r="586" ht="13.5" customHeight="1">
      <x:c r="G586"/>
      <x:c r="J586"/>
    </x:row>
    <x:row r="587" ht="13.5" customHeight="1">
      <x:c r="G587"/>
      <x:c r="J587"/>
    </x:row>
    <x:row r="588" ht="13.5" customHeight="1">
      <x:c r="G588"/>
      <x:c r="J588"/>
    </x:row>
    <x:row r="589" ht="13.5" customHeight="1">
      <x:c r="G589"/>
      <x:c r="J589"/>
    </x:row>
    <x:row r="590" ht="13.5" customHeight="1">
      <x:c r="G590"/>
      <x:c r="J590"/>
    </x:row>
    <x:row r="591" ht="13.5" customHeight="1">
      <x:c r="G591"/>
      <x:c r="J591"/>
    </x:row>
    <x:row r="592" ht="13.5" customHeight="1">
      <x:c r="G592"/>
      <x:c r="J592"/>
    </x:row>
    <x:row r="593" ht="13.5" customHeight="1">
      <x:c r="G593"/>
      <x:c r="J593"/>
    </x:row>
    <x:row r="594" ht="13.5" customHeight="1">
      <x:c r="G594"/>
      <x:c r="J594"/>
    </x:row>
    <x:row r="595" ht="13.5" customHeight="1">
      <x:c r="G595"/>
      <x:c r="J595"/>
    </x:row>
    <x:row r="596" ht="13.5" customHeight="1">
      <x:c r="G596"/>
      <x:c r="J596"/>
    </x:row>
    <x:row r="597" ht="13.5" customHeight="1">
      <x:c r="G597"/>
      <x:c r="J597"/>
    </x:row>
    <x:row r="598" ht="13.5" customHeight="1">
      <x:c r="G598"/>
      <x:c r="J598"/>
    </x:row>
    <x:row r="599" ht="13.5" customHeight="1">
      <x:c r="G599"/>
      <x:c r="J599"/>
    </x:row>
    <x:row r="600" ht="13.5" customHeight="1">
      <x:c r="G600"/>
      <x:c r="J600"/>
    </x:row>
    <x:row r="601" ht="13.5" customHeight="1">
      <x:c r="G601"/>
      <x:c r="J601"/>
    </x:row>
    <x:row r="602" ht="13.5" customHeight="1">
      <x:c r="G602"/>
      <x:c r="J602"/>
    </x:row>
    <x:row r="603" ht="13.5" customHeight="1">
      <x:c r="G603"/>
      <x:c r="J603"/>
    </x:row>
    <x:row r="604" ht="13.5" customHeight="1">
      <x:c r="G604"/>
      <x:c r="J604"/>
    </x:row>
    <x:row r="605" ht="13.5" customHeight="1">
      <x:c r="G605"/>
      <x:c r="J605"/>
    </x:row>
    <x:row r="606" ht="13.5" customHeight="1">
      <x:c r="G606"/>
      <x:c r="J606"/>
    </x:row>
    <x:row r="607" ht="13.5" customHeight="1">
      <x:c r="G607"/>
      <x:c r="J607"/>
    </x:row>
    <x:row r="608" ht="13.5" customHeight="1">
      <x:c r="G608"/>
      <x:c r="J608"/>
    </x:row>
    <x:row r="609" ht="13.5" customHeight="1">
      <x:c r="G609"/>
      <x:c r="J609"/>
    </x:row>
    <x:row r="610" ht="13.5" customHeight="1">
      <x:c r="G610"/>
      <x:c r="J610"/>
    </x:row>
    <x:row r="611" ht="13.5" customHeight="1">
      <x:c r="G611"/>
      <x:c r="J611"/>
    </x:row>
    <x:row r="612" ht="13.5" customHeight="1">
      <x:c r="G612"/>
      <x:c r="J612"/>
    </x:row>
    <x:row r="613" ht="13.5" customHeight="1">
      <x:c r="G613"/>
      <x:c r="J613"/>
    </x:row>
    <x:row r="614" ht="13.5" customHeight="1">
      <x:c r="G614"/>
      <x:c r="J614"/>
    </x:row>
    <x:row r="615" ht="13.5" customHeight="1">
      <x:c r="G615"/>
      <x:c r="J615"/>
    </x:row>
    <x:row r="616" ht="13.5" customHeight="1">
      <x:c r="G616"/>
      <x:c r="J616"/>
    </x:row>
    <x:row r="617" ht="13.5" customHeight="1">
      <x:c r="G617"/>
      <x:c r="J617"/>
    </x:row>
    <x:row r="618" ht="13.5" customHeight="1">
      <x:c r="G618"/>
      <x:c r="J618"/>
    </x:row>
    <x:row r="619" ht="13.5" customHeight="1">
      <x:c r="G619"/>
      <x:c r="J619"/>
    </x:row>
    <x:row r="620" ht="13.5" customHeight="1">
      <x:c r="G620"/>
      <x:c r="J620"/>
    </x:row>
    <x:row r="621" ht="13.5" customHeight="1">
      <x:c r="G621"/>
      <x:c r="J621"/>
    </x:row>
    <x:row r="622" ht="13.5" customHeight="1">
      <x:c r="G622"/>
      <x:c r="J622"/>
    </x:row>
    <x:row r="623" ht="13.5" customHeight="1">
      <x:c r="G623"/>
      <x:c r="J623"/>
    </x:row>
    <x:row r="624" ht="13.5" customHeight="1">
      <x:c r="G624"/>
      <x:c r="J624"/>
    </x:row>
    <x:row r="625" ht="13.5" customHeight="1">
      <x:c r="G625"/>
      <x:c r="J625"/>
    </x:row>
    <x:row r="626" ht="13.5" customHeight="1">
      <x:c r="G626"/>
      <x:c r="J626"/>
    </x:row>
    <x:row r="627" ht="13.5" customHeight="1">
      <x:c r="G627"/>
      <x:c r="J627"/>
    </x:row>
    <x:row r="628" ht="13.5" customHeight="1">
      <x:c r="G628"/>
      <x:c r="J628"/>
    </x:row>
    <x:row r="629" ht="13.5" customHeight="1">
      <x:c r="G629"/>
      <x:c r="J629"/>
    </x:row>
    <x:row r="630" ht="13.5" customHeight="1">
      <x:c r="G630"/>
      <x:c r="J630"/>
    </x:row>
    <x:row r="631" ht="13.5" customHeight="1">
      <x:c r="G631"/>
      <x:c r="J631"/>
    </x:row>
    <x:row r="632" ht="13.5" customHeight="1">
      <x:c r="G632"/>
      <x:c r="J632"/>
    </x:row>
    <x:row r="633" ht="13.5" customHeight="1">
      <x:c r="G633"/>
      <x:c r="J633"/>
    </x:row>
    <x:row r="634" ht="13.5" customHeight="1">
      <x:c r="G634"/>
      <x:c r="J634"/>
    </x:row>
    <x:row r="635" ht="13.5" customHeight="1">
      <x:c r="G635"/>
      <x:c r="J635"/>
    </x:row>
    <x:row r="636" ht="13.5" customHeight="1">
      <x:c r="G636"/>
      <x:c r="J636"/>
    </x:row>
    <x:row r="637" ht="13.5" customHeight="1">
      <x:c r="G637"/>
      <x:c r="J637"/>
    </x:row>
    <x:row r="638" ht="13.5" customHeight="1">
      <x:c r="G638"/>
      <x:c r="J638"/>
    </x:row>
    <x:row r="639" ht="13.5" customHeight="1">
      <x:c r="G639"/>
      <x:c r="J639"/>
    </x:row>
    <x:row r="640" ht="13.5" customHeight="1">
      <x:c r="G640"/>
      <x:c r="J640"/>
    </x:row>
    <x:row r="641" ht="13.5" customHeight="1">
      <x:c r="G641"/>
      <x:c r="J641"/>
    </x:row>
    <x:row r="642" ht="13.5" customHeight="1">
      <x:c r="G642"/>
      <x:c r="J642"/>
    </x:row>
    <x:row r="643" ht="13.5" customHeight="1">
      <x:c r="G643"/>
      <x:c r="J643"/>
    </x:row>
    <x:row r="644" ht="13.5" customHeight="1">
      <x:c r="G644"/>
      <x:c r="J644"/>
    </x:row>
    <x:row r="645" ht="13.5" customHeight="1">
      <x:c r="G645"/>
      <x:c r="J645"/>
    </x:row>
    <x:row r="646" ht="13.5" customHeight="1">
      <x:c r="G646"/>
      <x:c r="J646"/>
    </x:row>
    <x:row r="647" ht="13.5" customHeight="1">
      <x:c r="G647"/>
      <x:c r="J647"/>
    </x:row>
    <x:row r="648" ht="13.5" customHeight="1">
      <x:c r="G648"/>
      <x:c r="J648"/>
    </x:row>
    <x:row r="649" ht="13.5" customHeight="1">
      <x:c r="G649"/>
      <x:c r="J649"/>
    </x:row>
    <x:row r="650" ht="13.5" customHeight="1">
      <x:c r="G650"/>
      <x:c r="J650"/>
    </x:row>
    <x:row r="651" ht="13.5" customHeight="1">
      <x:c r="G651"/>
      <x:c r="J651"/>
    </x:row>
    <x:row r="652" ht="13.5" customHeight="1">
      <x:c r="G652"/>
      <x:c r="J652"/>
    </x:row>
    <x:row r="653" ht="13.5" customHeight="1">
      <x:c r="G653"/>
      <x:c r="J653"/>
    </x:row>
    <x:row r="654" ht="13.5" customHeight="1">
      <x:c r="G654"/>
      <x:c r="J654"/>
    </x:row>
    <x:row r="655" ht="13.5" customHeight="1">
      <x:c r="G655"/>
      <x:c r="J655"/>
    </x:row>
    <x:row r="656" ht="13.5" customHeight="1">
      <x:c r="G656"/>
      <x:c r="J656"/>
    </x:row>
    <x:row r="657" ht="13.5" customHeight="1">
      <x:c r="G657"/>
      <x:c r="J657"/>
    </x:row>
    <x:row r="658" ht="13.5" customHeight="1">
      <x:c r="G658"/>
      <x:c r="J658"/>
    </x:row>
    <x:row r="659" ht="13.5" customHeight="1">
      <x:c r="G659"/>
      <x:c r="J659"/>
    </x:row>
    <x:row r="660" ht="13.5" customHeight="1">
      <x:c r="G660"/>
      <x:c r="J660"/>
    </x:row>
    <x:row r="661" ht="13.5" customHeight="1">
      <x:c r="G661"/>
      <x:c r="J661"/>
    </x:row>
    <x:row r="662" ht="13.5" customHeight="1">
      <x:c r="G662"/>
      <x:c r="J662"/>
    </x:row>
    <x:row r="663" ht="13.5" customHeight="1">
      <x:c r="G663"/>
      <x:c r="J663"/>
    </x:row>
    <x:row r="664" ht="13.5" customHeight="1">
      <x:c r="G664"/>
      <x:c r="J664"/>
    </x:row>
    <x:row r="665" ht="13.5" customHeight="1">
      <x:c r="G665"/>
      <x:c r="J665"/>
    </x:row>
    <x:row r="666" ht="13.5" customHeight="1">
      <x:c r="G666"/>
      <x:c r="J666"/>
    </x:row>
    <x:row r="667" ht="13.5" customHeight="1">
      <x:c r="G667"/>
      <x:c r="J667"/>
    </x:row>
    <x:row r="668" ht="13.5" customHeight="1">
      <x:c r="G668"/>
      <x:c r="J668"/>
    </x:row>
    <x:row r="669" ht="13.5" customHeight="1">
      <x:c r="G669"/>
      <x:c r="J669"/>
    </x:row>
    <x:row r="670" ht="13.5" customHeight="1">
      <x:c r="G670"/>
      <x:c r="J670"/>
    </x:row>
    <x:row r="671" ht="13.5" customHeight="1">
      <x:c r="G671"/>
      <x:c r="J671"/>
    </x:row>
    <x:row r="672" ht="13.5" customHeight="1">
      <x:c r="G672"/>
      <x:c r="J672"/>
    </x:row>
    <x:row r="673" ht="13.5" customHeight="1">
      <x:c r="G673"/>
      <x:c r="J673"/>
    </x:row>
    <x:row r="674" ht="13.5" customHeight="1">
      <x:c r="G674"/>
      <x:c r="J674"/>
    </x:row>
    <x:row r="675" ht="13.5" customHeight="1">
      <x:c r="G675"/>
      <x:c r="J675"/>
    </x:row>
    <x:row r="676" ht="13.5" customHeight="1">
      <x:c r="G676"/>
      <x:c r="J676"/>
    </x:row>
    <x:row r="677" ht="13.5" customHeight="1">
      <x:c r="G677"/>
      <x:c r="J677"/>
    </x:row>
    <x:row r="678" ht="13.5" customHeight="1">
      <x:c r="G678"/>
      <x:c r="J678"/>
    </x:row>
    <x:row r="679" ht="13.5" customHeight="1">
      <x:c r="G679"/>
      <x:c r="J679"/>
    </x:row>
    <x:row r="680" ht="13.5" customHeight="1">
      <x:c r="G680"/>
      <x:c r="J680"/>
    </x:row>
    <x:row r="681" ht="13.5" customHeight="1">
      <x:c r="G681"/>
      <x:c r="J681"/>
    </x:row>
    <x:row r="682" ht="13.5" customHeight="1">
      <x:c r="G682"/>
      <x:c r="J682"/>
    </x:row>
    <x:row r="683" ht="13.5" customHeight="1">
      <x:c r="G683"/>
      <x:c r="J683"/>
    </x:row>
    <x:row r="684" ht="13.5" customHeight="1">
      <x:c r="G684"/>
      <x:c r="J684"/>
    </x:row>
    <x:row r="685" ht="13.5" customHeight="1">
      <x:c r="G685"/>
      <x:c r="J685"/>
    </x:row>
    <x:row r="686" ht="13.5" customHeight="1">
      <x:c r="G686"/>
      <x:c r="J686"/>
    </x:row>
    <x:row r="687" ht="13.5" customHeight="1">
      <x:c r="G687"/>
      <x:c r="J687"/>
    </x:row>
    <x:row r="688" ht="13.5" customHeight="1">
      <x:c r="G688"/>
      <x:c r="J688"/>
    </x:row>
    <x:row r="689" ht="13.5" customHeight="1">
      <x:c r="G689"/>
      <x:c r="J689"/>
    </x:row>
    <x:row r="690" ht="13.5" customHeight="1">
      <x:c r="G690"/>
      <x:c r="J690"/>
    </x:row>
    <x:row r="691" ht="13.5" customHeight="1">
      <x:c r="G691"/>
      <x:c r="J691"/>
    </x:row>
    <x:row r="692" ht="13.5" customHeight="1">
      <x:c r="G692"/>
      <x:c r="J692"/>
    </x:row>
    <x:row r="693" ht="13.5" customHeight="1">
      <x:c r="G693"/>
      <x:c r="J693"/>
    </x:row>
    <x:row r="694" ht="13.5" customHeight="1">
      <x:c r="G694"/>
      <x:c r="J694"/>
    </x:row>
    <x:row r="695" ht="13.5" customHeight="1">
      <x:c r="G695"/>
      <x:c r="J695"/>
    </x:row>
    <x:row r="696" ht="13.5" customHeight="1">
      <x:c r="G696"/>
      <x:c r="J696"/>
    </x:row>
    <x:row r="697" ht="13.5" customHeight="1">
      <x:c r="G697"/>
      <x:c r="J697"/>
    </x:row>
    <x:row r="698" ht="13.5" customHeight="1">
      <x:c r="G698"/>
      <x:c r="J698"/>
    </x:row>
    <x:row r="699" ht="13.5" customHeight="1">
      <x:c r="G699"/>
      <x:c r="J699"/>
    </x:row>
    <x:row r="700" ht="13.5" customHeight="1">
      <x:c r="G700"/>
      <x:c r="J700"/>
    </x:row>
    <x:row r="701" ht="13.5" customHeight="1">
      <x:c r="G701"/>
      <x:c r="J701"/>
    </x:row>
    <x:row r="702" ht="13.5" customHeight="1">
      <x:c r="G702"/>
      <x:c r="J702"/>
    </x:row>
    <x:row r="703" ht="13.5" customHeight="1">
      <x:c r="G703"/>
      <x:c r="J703"/>
    </x:row>
    <x:row r="704" ht="13.5" customHeight="1">
      <x:c r="G704"/>
      <x:c r="J704"/>
    </x:row>
    <x:row r="705" ht="13.5" customHeight="1">
      <x:c r="G705"/>
      <x:c r="J705"/>
    </x:row>
    <x:row r="706" ht="13.5" customHeight="1">
      <x:c r="G706"/>
      <x:c r="J706"/>
    </x:row>
    <x:row r="707" ht="13.5" customHeight="1">
      <x:c r="G707"/>
      <x:c r="J707"/>
    </x:row>
    <x:row r="708" ht="13.5" customHeight="1">
      <x:c r="G708"/>
      <x:c r="J708"/>
    </x:row>
    <x:row r="709" ht="13.5" customHeight="1">
      <x:c r="G709"/>
      <x:c r="J709"/>
    </x:row>
    <x:row r="710" ht="13.5" customHeight="1">
      <x:c r="G710"/>
      <x:c r="J710"/>
    </x:row>
    <x:row r="711" ht="13.5" customHeight="1">
      <x:c r="G711"/>
      <x:c r="J711"/>
    </x:row>
    <x:row r="712" ht="13.5" customHeight="1">
      <x:c r="G712"/>
      <x:c r="J712"/>
    </x:row>
    <x:row r="713" ht="13.5" customHeight="1">
      <x:c r="G713"/>
      <x:c r="J713"/>
    </x:row>
    <x:row r="714" ht="13.5" customHeight="1">
      <x:c r="G714"/>
      <x:c r="J714"/>
    </x:row>
    <x:row r="715" ht="13.5" customHeight="1">
      <x:c r="G715"/>
      <x:c r="J715"/>
    </x:row>
    <x:row r="716" ht="13.5" customHeight="1">
      <x:c r="G716"/>
      <x:c r="J716"/>
    </x:row>
    <x:row r="717" ht="13.5" customHeight="1">
      <x:c r="G717"/>
      <x:c r="J717"/>
    </x:row>
    <x:row r="718" ht="13.5" customHeight="1">
      <x:c r="G718"/>
      <x:c r="J718"/>
    </x:row>
    <x:row r="719" ht="13.5" customHeight="1">
      <x:c r="G719"/>
      <x:c r="J719"/>
    </x:row>
    <x:row r="720" ht="13.5" customHeight="1">
      <x:c r="G720"/>
      <x:c r="J720"/>
    </x:row>
    <x:row r="721" ht="13.5" customHeight="1">
      <x:c r="G721"/>
      <x:c r="J721"/>
    </x:row>
    <x:row r="722" ht="13.5" customHeight="1">
      <x:c r="G722"/>
      <x:c r="J722"/>
    </x:row>
    <x:row r="723" ht="13.5" customHeight="1">
      <x:c r="G723"/>
      <x:c r="J723"/>
    </x:row>
    <x:row r="724" ht="13.5" customHeight="1">
      <x:c r="G724"/>
      <x:c r="J724"/>
    </x:row>
    <x:row r="725" ht="13.5" customHeight="1">
      <x:c r="G725"/>
      <x:c r="J725"/>
    </x:row>
    <x:row r="726" ht="13.5" customHeight="1">
      <x:c r="G726"/>
      <x:c r="J726"/>
    </x:row>
    <x:row r="727" ht="13.5" customHeight="1">
      <x:c r="G727"/>
      <x:c r="J727"/>
    </x:row>
    <x:row r="728" ht="13.5" customHeight="1">
      <x:c r="G728"/>
      <x:c r="J728"/>
    </x:row>
    <x:row r="729" ht="13.5" customHeight="1">
      <x:c r="G729"/>
      <x:c r="J729"/>
    </x:row>
    <x:row r="730" ht="13.5" customHeight="1">
      <x:c r="G730"/>
      <x:c r="J730"/>
    </x:row>
    <x:row r="731" ht="13.5" customHeight="1">
      <x:c r="G731"/>
      <x:c r="J731"/>
    </x:row>
    <x:row r="732" ht="13.5" customHeight="1">
      <x:c r="G732"/>
      <x:c r="J732"/>
    </x:row>
    <x:row r="733" ht="13.5" customHeight="1">
      <x:c r="G733"/>
      <x:c r="J733"/>
    </x:row>
    <x:row r="734" ht="13.5" customHeight="1">
      <x:c r="G734"/>
      <x:c r="J734"/>
    </x:row>
    <x:row r="735" ht="13.5" customHeight="1">
      <x:c r="G735"/>
      <x:c r="J735"/>
    </x:row>
    <x:row r="736" ht="13.5" customHeight="1">
      <x:c r="G736"/>
      <x:c r="J736"/>
    </x:row>
    <x:row r="737" ht="13.5" customHeight="1">
      <x:c r="G737"/>
      <x:c r="J737"/>
    </x:row>
    <x:row r="738" ht="13.5" customHeight="1">
      <x:c r="G738"/>
      <x:c r="J738"/>
    </x:row>
    <x:row r="739" ht="13.5" customHeight="1">
      <x:c r="G739"/>
      <x:c r="J739"/>
    </x:row>
    <x:row r="740" ht="13.5" customHeight="1">
      <x:c r="G740"/>
      <x:c r="J740"/>
    </x:row>
    <x:row r="741" ht="13.5" customHeight="1">
      <x:c r="G741"/>
      <x:c r="J741"/>
    </x:row>
    <x:row r="742" ht="13.5" customHeight="1">
      <x:c r="G742"/>
      <x:c r="J742"/>
    </x:row>
    <x:row r="743" ht="13.5" customHeight="1">
      <x:c r="G743"/>
      <x:c r="J743"/>
    </x:row>
    <x:row r="744" ht="13.5" customHeight="1">
      <x:c r="G744"/>
      <x:c r="J744"/>
    </x:row>
    <x:row r="745" ht="13.5" customHeight="1">
      <x:c r="G745"/>
      <x:c r="J745"/>
    </x:row>
    <x:row r="746" ht="13.5" customHeight="1">
      <x:c r="G746"/>
      <x:c r="J746"/>
    </x:row>
    <x:row r="747" ht="13.5" customHeight="1">
      <x:c r="G747"/>
      <x:c r="J747"/>
    </x:row>
    <x:row r="748" ht="13.5" customHeight="1">
      <x:c r="G748"/>
      <x:c r="J748"/>
    </x:row>
    <x:row r="749" ht="13.5" customHeight="1">
      <x:c r="G749"/>
      <x:c r="J749"/>
    </x:row>
    <x:row r="750" ht="13.5" customHeight="1">
      <x:c r="G750"/>
      <x:c r="J750"/>
    </x:row>
    <x:row r="751" ht="13.5" customHeight="1">
      <x:c r="G751"/>
      <x:c r="J751"/>
    </x:row>
    <x:row r="752" ht="13.5" customHeight="1">
      <x:c r="G752"/>
      <x:c r="J752"/>
    </x:row>
    <x:row r="753" ht="13.5" customHeight="1">
      <x:c r="G753"/>
      <x:c r="J753"/>
    </x:row>
    <x:row r="754" ht="13.5" customHeight="1">
      <x:c r="G754"/>
      <x:c r="J754"/>
    </x:row>
    <x:row r="755" ht="13.5" customHeight="1">
      <x:c r="G755"/>
      <x:c r="J755"/>
    </x:row>
    <x:row r="756" ht="13.5" customHeight="1">
      <x:c r="G756"/>
      <x:c r="J756"/>
    </x:row>
    <x:row r="757" ht="13.5" customHeight="1">
      <x:c r="G757"/>
      <x:c r="J757"/>
    </x:row>
    <x:row r="758" ht="13.5" customHeight="1">
      <x:c r="G758"/>
      <x:c r="J758"/>
    </x:row>
    <x:row r="759" ht="13.5" customHeight="1">
      <x:c r="G759"/>
      <x:c r="J759"/>
    </x:row>
    <x:row r="760" ht="13.5" customHeight="1">
      <x:c r="G760"/>
      <x:c r="J760"/>
    </x:row>
    <x:row r="761" ht="13.5" customHeight="1">
      <x:c r="G761"/>
      <x:c r="J761"/>
    </x:row>
    <x:row r="762" ht="13.5" customHeight="1">
      <x:c r="G762"/>
      <x:c r="J762"/>
    </x:row>
    <x:row r="763" ht="13.5" customHeight="1">
      <x:c r="G763"/>
      <x:c r="J763"/>
    </x:row>
    <x:row r="764" ht="13.5" customHeight="1">
      <x:c r="G764"/>
      <x:c r="J764"/>
    </x:row>
    <x:row r="765" ht="13.5" customHeight="1">
      <x:c r="G765"/>
      <x:c r="J765"/>
    </x:row>
    <x:row r="766" ht="13.5" customHeight="1">
      <x:c r="G766"/>
      <x:c r="J766"/>
    </x:row>
    <x:row r="767" ht="13.5" customHeight="1">
      <x:c r="G767"/>
      <x:c r="J767"/>
    </x:row>
    <x:row r="768" ht="13.5" customHeight="1">
      <x:c r="G768"/>
      <x:c r="J768"/>
    </x:row>
    <x:row r="769" ht="13.5" customHeight="1">
      <x:c r="G769"/>
      <x:c r="J769"/>
    </x:row>
    <x:row r="770" ht="13.5" customHeight="1">
      <x:c r="G770"/>
      <x:c r="J770"/>
    </x:row>
    <x:row r="771" ht="13.5" customHeight="1">
      <x:c r="G771"/>
      <x:c r="J771"/>
    </x:row>
    <x:row r="772" ht="13.5" customHeight="1">
      <x:c r="G772"/>
      <x:c r="J772"/>
    </x:row>
    <x:row r="773" ht="13.5" customHeight="1">
      <x:c r="G773"/>
      <x:c r="J773"/>
    </x:row>
    <x:row r="774" ht="13.5" customHeight="1">
      <x:c r="G774"/>
      <x:c r="J774"/>
    </x:row>
    <x:row r="775" ht="13.5" customHeight="1">
      <x:c r="G775"/>
      <x:c r="J775"/>
    </x:row>
    <x:row r="776" ht="13.5" customHeight="1">
      <x:c r="G776"/>
      <x:c r="J776"/>
    </x:row>
    <x:row r="777" ht="13.5" customHeight="1">
      <x:c r="G777"/>
      <x:c r="J777"/>
    </x:row>
    <x:row r="778" ht="13.5" customHeight="1">
      <x:c r="G778"/>
      <x:c r="J778"/>
    </x:row>
    <x:row r="779" ht="13.5" customHeight="1">
      <x:c r="G779"/>
      <x:c r="J779"/>
    </x:row>
    <x:row r="780" ht="13.5" customHeight="1">
      <x:c r="G780"/>
      <x:c r="J780"/>
    </x:row>
    <x:row r="781" ht="13.5" customHeight="1">
      <x:c r="G781"/>
      <x:c r="J781"/>
    </x:row>
    <x:row r="782" ht="13.5" customHeight="1">
      <x:c r="G782"/>
      <x:c r="J782"/>
    </x:row>
    <x:row r="783" ht="13.5" customHeight="1">
      <x:c r="G783"/>
      <x:c r="J783"/>
    </x:row>
    <x:row r="784" ht="13.5" customHeight="1">
      <x:c r="G784"/>
      <x:c r="J784"/>
    </x:row>
    <x:row r="785" ht="13.5" customHeight="1">
      <x:c r="G785"/>
      <x:c r="J785"/>
    </x:row>
    <x:row r="786" ht="13.5" customHeight="1">
      <x:c r="G786"/>
      <x:c r="J786"/>
    </x:row>
    <x:row r="787" ht="13.5" customHeight="1">
      <x:c r="G787"/>
      <x:c r="J787"/>
    </x:row>
    <x:row r="788" ht="13.5" customHeight="1">
      <x:c r="G788"/>
      <x:c r="J788"/>
    </x:row>
    <x:row r="789" ht="13.5" customHeight="1">
      <x:c r="G789"/>
      <x:c r="J789"/>
    </x:row>
    <x:row r="790" ht="13.5" customHeight="1">
      <x:c r="G790"/>
      <x:c r="J790"/>
    </x:row>
    <x:row r="791" ht="13.5" customHeight="1">
      <x:c r="G791"/>
      <x:c r="J791"/>
    </x:row>
    <x:row r="792" ht="13.5" customHeight="1">
      <x:c r="G792"/>
      <x:c r="J792"/>
    </x:row>
    <x:row r="793" ht="13.5" customHeight="1">
      <x:c r="G793"/>
      <x:c r="J793"/>
    </x:row>
    <x:row r="794" ht="13.5" customHeight="1">
      <x:c r="G794"/>
      <x:c r="J794"/>
    </x:row>
    <x:row r="795" ht="13.5" customHeight="1">
      <x:c r="G795"/>
      <x:c r="J795"/>
    </x:row>
    <x:row r="796" ht="13.5" customHeight="1">
      <x:c r="G796"/>
      <x:c r="J796"/>
    </x:row>
    <x:row r="797" ht="13.5" customHeight="1">
      <x:c r="G797"/>
      <x:c r="J797"/>
    </x:row>
    <x:row r="798" ht="13.5" customHeight="1">
      <x:c r="G798"/>
      <x:c r="J798"/>
    </x:row>
    <x:row r="799" ht="13.5" customHeight="1">
      <x:c r="G799"/>
      <x:c r="J799"/>
    </x:row>
    <x:row r="800" ht="13.5" customHeight="1">
      <x:c r="G800"/>
      <x:c r="J800"/>
    </x:row>
    <x:row r="801" ht="13.5" customHeight="1">
      <x:c r="G801"/>
      <x:c r="J801"/>
    </x:row>
    <x:row r="802" ht="13.5" customHeight="1">
      <x:c r="G802"/>
      <x:c r="J802"/>
    </x:row>
    <x:row r="803" ht="13.5" customHeight="1">
      <x:c r="G803"/>
      <x:c r="J803"/>
    </x:row>
    <x:row r="804" ht="13.5" customHeight="1">
      <x:c r="G804"/>
      <x:c r="J804"/>
    </x:row>
    <x:row r="805" ht="13.5" customHeight="1">
      <x:c r="G805"/>
      <x:c r="J805"/>
    </x:row>
    <x:row r="806" ht="13.5" customHeight="1">
      <x:c r="G806"/>
      <x:c r="J806"/>
    </x:row>
    <x:row r="807" ht="13.5" customHeight="1">
      <x:c r="G807"/>
      <x:c r="J807"/>
    </x:row>
    <x:row r="808" ht="13.5" customHeight="1">
      <x:c r="G808"/>
      <x:c r="J808"/>
    </x:row>
    <x:row r="809" ht="13.5" customHeight="1">
      <x:c r="G809"/>
      <x:c r="J809"/>
    </x:row>
    <x:row r="810" ht="13.5" customHeight="1">
      <x:c r="G810"/>
      <x:c r="J810"/>
    </x:row>
    <x:row r="811" ht="13.5" customHeight="1">
      <x:c r="G811"/>
      <x:c r="J811"/>
    </x:row>
    <x:row r="812" ht="13.5" customHeight="1">
      <x:c r="G812"/>
      <x:c r="J812"/>
    </x:row>
    <x:row r="813" ht="13.5" customHeight="1">
      <x:c r="G813"/>
      <x:c r="J813"/>
    </x:row>
    <x:row r="814" ht="13.5" customHeight="1">
      <x:c r="G814"/>
      <x:c r="J814"/>
    </x:row>
    <x:row r="815" ht="13.5" customHeight="1">
      <x:c r="G815"/>
      <x:c r="J815"/>
    </x:row>
    <x:row r="816" ht="13.5" customHeight="1">
      <x:c r="G816"/>
      <x:c r="J816"/>
    </x:row>
    <x:row r="817" ht="13.5" customHeight="1">
      <x:c r="G817"/>
      <x:c r="J817"/>
    </x:row>
    <x:row r="818" ht="13.5" customHeight="1">
      <x:c r="G818"/>
      <x:c r="J818"/>
    </x:row>
    <x:row r="819" ht="13.5" customHeight="1">
      <x:c r="G819"/>
      <x:c r="J819"/>
    </x:row>
    <x:row r="820" ht="13.5" customHeight="1">
      <x:c r="G820"/>
      <x:c r="J820"/>
    </x:row>
    <x:row r="821" ht="13.5" customHeight="1">
      <x:c r="G821"/>
      <x:c r="J821"/>
    </x:row>
    <x:row r="822" ht="13.5" customHeight="1">
      <x:c r="G822"/>
      <x:c r="J822"/>
    </x:row>
    <x:row r="823" ht="13.5" customHeight="1">
      <x:c r="G823"/>
      <x:c r="J823"/>
    </x:row>
    <x:row r="824" ht="13.5" customHeight="1">
      <x:c r="G824"/>
      <x:c r="J824"/>
    </x:row>
    <x:row r="825" ht="13.5" customHeight="1">
      <x:c r="G825"/>
      <x:c r="J825"/>
    </x:row>
    <x:row r="826" ht="13.5" customHeight="1">
      <x:c r="G826"/>
      <x:c r="J826"/>
    </x:row>
    <x:row r="827" ht="13.5" customHeight="1">
      <x:c r="G827"/>
      <x:c r="J827"/>
    </x:row>
    <x:row r="828" ht="13.5" customHeight="1">
      <x:c r="G828"/>
      <x:c r="J828"/>
    </x:row>
    <x:row r="829" ht="13.5" customHeight="1">
      <x:c r="G829"/>
      <x:c r="J829"/>
    </x:row>
    <x:row r="830" ht="13.5" customHeight="1">
      <x:c r="G830"/>
      <x:c r="J830"/>
    </x:row>
    <x:row r="831" ht="13.5" customHeight="1">
      <x:c r="G831"/>
      <x:c r="J831"/>
    </x:row>
    <x:row r="832" ht="13.5" customHeight="1">
      <x:c r="G832"/>
      <x:c r="J832"/>
    </x:row>
    <x:row r="833" ht="13.5" customHeight="1">
      <x:c r="G833"/>
      <x:c r="J833"/>
    </x:row>
    <x:row r="834" ht="13.5" customHeight="1">
      <x:c r="G834"/>
      <x:c r="J834"/>
    </x:row>
    <x:row r="835" ht="13.5" customHeight="1">
      <x:c r="G835"/>
      <x:c r="J835"/>
    </x:row>
    <x:row r="836" ht="13.5" customHeight="1">
      <x:c r="G836"/>
      <x:c r="J836"/>
    </x:row>
    <x:row r="837" ht="13.5" customHeight="1">
      <x:c r="G837"/>
      <x:c r="J837"/>
    </x:row>
    <x:row r="838" ht="13.5" customHeight="1">
      <x:c r="G838"/>
      <x:c r="J838"/>
    </x:row>
    <x:row r="839" ht="13.5" customHeight="1">
      <x:c r="G839"/>
      <x:c r="J839"/>
    </x:row>
    <x:row r="840" ht="13.5" customHeight="1">
      <x:c r="G840"/>
      <x:c r="J840"/>
    </x:row>
    <x:row r="841" ht="13.5" customHeight="1">
      <x:c r="G841"/>
      <x:c r="J841"/>
    </x:row>
    <x:row r="842" ht="13.5" customHeight="1">
      <x:c r="G842"/>
      <x:c r="J842"/>
    </x:row>
    <x:row r="843" ht="13.5" customHeight="1">
      <x:c r="G843"/>
      <x:c r="J843"/>
    </x:row>
    <x:row r="844" ht="13.5" customHeight="1">
      <x:c r="G844"/>
      <x:c r="J844"/>
    </x:row>
    <x:row r="845" ht="13.5" customHeight="1">
      <x:c r="G845"/>
      <x:c r="J845"/>
    </x:row>
    <x:row r="846" ht="13.5" customHeight="1">
      <x:c r="G846"/>
      <x:c r="J846"/>
    </x:row>
    <x:row r="847" ht="13.5" customHeight="1">
      <x:c r="G847"/>
      <x:c r="J847"/>
    </x:row>
    <x:row r="848" ht="13.5" customHeight="1">
      <x:c r="G848"/>
      <x:c r="J848"/>
    </x:row>
    <x:row r="849" ht="13.5" customHeight="1">
      <x:c r="G849"/>
      <x:c r="J849"/>
    </x:row>
    <x:row r="850" ht="13.5" customHeight="1">
      <x:c r="G850"/>
      <x:c r="J850"/>
    </x:row>
    <x:row r="851" ht="13.5" customHeight="1">
      <x:c r="G851"/>
      <x:c r="J851"/>
    </x:row>
    <x:row r="852" ht="13.5" customHeight="1">
      <x:c r="G852"/>
      <x:c r="J852"/>
    </x:row>
    <x:row r="853" ht="13.5" customHeight="1">
      <x:c r="G853"/>
      <x:c r="J853"/>
    </x:row>
    <x:row r="854" ht="13.5" customHeight="1">
      <x:c r="G854"/>
      <x:c r="J854"/>
    </x:row>
    <x:row r="855" ht="13.5" customHeight="1">
      <x:c r="G855"/>
      <x:c r="J855"/>
    </x:row>
    <x:row r="856" ht="13.5" customHeight="1">
      <x:c r="G856"/>
      <x:c r="J856"/>
    </x:row>
    <x:row r="857" ht="13.5" customHeight="1">
      <x:c r="G857"/>
      <x:c r="J857"/>
    </x:row>
    <x:row r="858" ht="13.5" customHeight="1">
      <x:c r="G858"/>
      <x:c r="J858"/>
    </x:row>
    <x:row r="859" ht="13.5" customHeight="1">
      <x:c r="G859"/>
      <x:c r="J859"/>
    </x:row>
    <x:row r="860" ht="13.5" customHeight="1">
      <x:c r="G860"/>
      <x:c r="J860"/>
    </x:row>
    <x:row r="861" ht="13.5" customHeight="1">
      <x:c r="G861"/>
      <x:c r="J861"/>
    </x:row>
    <x:row r="862" ht="13.5" customHeight="1">
      <x:c r="G862"/>
      <x:c r="J862"/>
    </x:row>
    <x:row r="863" ht="13.5" customHeight="1">
      <x:c r="G863"/>
      <x:c r="J863"/>
    </x:row>
    <x:row r="864" ht="13.5" customHeight="1">
      <x:c r="G864"/>
      <x:c r="J864"/>
    </x:row>
    <x:row r="865" ht="13.5" customHeight="1">
      <x:c r="G865"/>
      <x:c r="J865"/>
    </x:row>
    <x:row r="866" ht="13.5" customHeight="1">
      <x:c r="G866"/>
      <x:c r="J866"/>
    </x:row>
    <x:row r="867" ht="13.5" customHeight="1">
      <x:c r="G867"/>
      <x:c r="J867"/>
    </x:row>
    <x:row r="868" ht="13.5" customHeight="1">
      <x:c r="G868"/>
      <x:c r="J868"/>
    </x:row>
    <x:row r="869" ht="13.5" customHeight="1">
      <x:c r="G869"/>
      <x:c r="J869"/>
    </x:row>
    <x:row r="870" ht="13.5" customHeight="1">
      <x:c r="G870"/>
      <x:c r="J870"/>
    </x:row>
    <x:row r="871" ht="13.5" customHeight="1">
      <x:c r="G871"/>
      <x:c r="J871"/>
    </x:row>
    <x:row r="872" ht="13.5" customHeight="1">
      <x:c r="G872"/>
      <x:c r="J872"/>
    </x:row>
    <x:row r="873" ht="13.5" customHeight="1">
      <x:c r="G873"/>
      <x:c r="J873"/>
    </x:row>
    <x:row r="874" ht="13.5" customHeight="1">
      <x:c r="G874"/>
      <x:c r="J874"/>
    </x:row>
    <x:row r="875" ht="13.5" customHeight="1">
      <x:c r="G875"/>
      <x:c r="J875"/>
    </x:row>
    <x:row r="876" ht="13.5" customHeight="1">
      <x:c r="G876"/>
      <x:c r="J876"/>
    </x:row>
    <x:row r="877" ht="13.5" customHeight="1">
      <x:c r="G877"/>
      <x:c r="J877"/>
    </x:row>
    <x:row r="878" ht="13.5" customHeight="1">
      <x:c r="G878"/>
      <x:c r="J878"/>
    </x:row>
    <x:row r="879" ht="13.5" customHeight="1">
      <x:c r="G879"/>
      <x:c r="J879"/>
    </x:row>
    <x:row r="880" ht="13.5" customHeight="1">
      <x:c r="G880"/>
      <x:c r="J880"/>
    </x:row>
    <x:row r="881" ht="13.5" customHeight="1">
      <x:c r="G881"/>
      <x:c r="J881"/>
    </x:row>
    <x:row r="882" ht="13.5" customHeight="1">
      <x:c r="G882"/>
      <x:c r="J882"/>
    </x:row>
    <x:row r="883" ht="13.5" customHeight="1">
      <x:c r="G883"/>
      <x:c r="J883"/>
    </x:row>
    <x:row r="884" ht="13.5" customHeight="1">
      <x:c r="G884"/>
      <x:c r="J884"/>
    </x:row>
    <x:row r="885" ht="13.5" customHeight="1">
      <x:c r="G885"/>
      <x:c r="J885"/>
    </x:row>
    <x:row r="886" ht="13.5" customHeight="1">
      <x:c r="G886"/>
      <x:c r="J886"/>
    </x:row>
    <x:row r="887" ht="13.5" customHeight="1">
      <x:c r="G887"/>
      <x:c r="J887"/>
    </x:row>
    <x:row r="888" ht="13.5" customHeight="1">
      <x:c r="G888"/>
      <x:c r="J888"/>
    </x:row>
    <x:row r="889" ht="13.5" customHeight="1">
      <x:c r="G889"/>
      <x:c r="J889"/>
    </x:row>
    <x:row r="890" ht="13.5" customHeight="1">
      <x:c r="G890"/>
      <x:c r="J890"/>
    </x:row>
    <x:row r="891" ht="13.5" customHeight="1">
      <x:c r="G891"/>
      <x:c r="J891"/>
    </x:row>
    <x:row r="892" ht="13.5" customHeight="1">
      <x:c r="G892"/>
      <x:c r="J892"/>
    </x:row>
    <x:row r="893" ht="13.5" customHeight="1">
      <x:c r="G893"/>
      <x:c r="J893"/>
    </x:row>
    <x:row r="894" ht="13.5" customHeight="1">
      <x:c r="G894"/>
      <x:c r="J894"/>
    </x:row>
    <x:row r="895" ht="13.5" customHeight="1">
      <x:c r="G895"/>
      <x:c r="J895"/>
    </x:row>
    <x:row r="896" ht="13.5" customHeight="1">
      <x:c r="G896"/>
      <x:c r="J896"/>
    </x:row>
    <x:row r="897" ht="13.5" customHeight="1">
      <x:c r="G897"/>
      <x:c r="J897"/>
    </x:row>
    <x:row r="898" ht="13.5" customHeight="1">
      <x:c r="G898"/>
      <x:c r="J898"/>
    </x:row>
    <x:row r="899" ht="13.5" customHeight="1">
      <x:c r="G899"/>
      <x:c r="J899"/>
    </x:row>
    <x:row r="900" ht="13.5" customHeight="1">
      <x:c r="G900"/>
      <x:c r="J900"/>
    </x:row>
    <x:row r="901" ht="13.5" customHeight="1">
      <x:c r="G901"/>
      <x:c r="J901"/>
    </x:row>
    <x:row r="902" ht="13.5" customHeight="1">
      <x:c r="G902"/>
      <x:c r="J902"/>
    </x:row>
    <x:row r="903" ht="13.5" customHeight="1">
      <x:c r="G903"/>
      <x:c r="J903"/>
    </x:row>
    <x:row r="904" ht="13.5" customHeight="1">
      <x:c r="G904"/>
      <x:c r="J904"/>
    </x:row>
    <x:row r="905" ht="13.5" customHeight="1">
      <x:c r="G905"/>
      <x:c r="J905"/>
    </x:row>
    <x:row r="906" ht="13.5" customHeight="1">
      <x:c r="G906"/>
      <x:c r="J906"/>
    </x:row>
    <x:row r="907" ht="13.5" customHeight="1">
      <x:c r="G907"/>
      <x:c r="J907"/>
    </x:row>
    <x:row r="908" ht="13.5" customHeight="1">
      <x:c r="G908"/>
      <x:c r="J908"/>
    </x:row>
    <x:row r="909" ht="13.5" customHeight="1">
      <x:c r="G909"/>
      <x:c r="J909"/>
    </x:row>
    <x:row r="910" ht="13.5" customHeight="1">
      <x:c r="G910"/>
      <x:c r="J910"/>
    </x:row>
    <x:row r="911" ht="13.5" customHeight="1">
      <x:c r="G911"/>
      <x:c r="J911"/>
    </x:row>
    <x:row r="912" ht="13.5" customHeight="1">
      <x:c r="G912"/>
      <x:c r="J912"/>
    </x:row>
    <x:row r="913" ht="13.5" customHeight="1">
      <x:c r="G913"/>
      <x:c r="J913"/>
    </x:row>
    <x:row r="914" ht="13.5" customHeight="1">
      <x:c r="G914"/>
      <x:c r="J914"/>
    </x:row>
    <x:row r="915" ht="13.5" customHeight="1">
      <x:c r="G915"/>
      <x:c r="J915"/>
    </x:row>
    <x:row r="916" ht="13.5" customHeight="1">
      <x:c r="G916"/>
      <x:c r="J916"/>
    </x:row>
    <x:row r="917" ht="13.5" customHeight="1">
      <x:c r="G917"/>
      <x:c r="J917"/>
    </x:row>
    <x:row r="918" ht="13.5" customHeight="1">
      <x:c r="G918"/>
      <x:c r="J918"/>
    </x:row>
    <x:row r="919" ht="13.5" customHeight="1">
      <x:c r="G919"/>
      <x:c r="J919"/>
    </x:row>
    <x:row r="920" ht="13.5" customHeight="1">
      <x:c r="G920"/>
      <x:c r="J920"/>
    </x:row>
    <x:row r="921" ht="13.5" customHeight="1">
      <x:c r="G921"/>
      <x:c r="J921"/>
    </x:row>
    <x:row r="922" ht="13.5" customHeight="1">
      <x:c r="G922"/>
      <x:c r="J922"/>
    </x:row>
    <x:row r="923" ht="13.5" customHeight="1">
      <x:c r="G923"/>
      <x:c r="J923"/>
    </x:row>
    <x:row r="924" ht="13.5" customHeight="1">
      <x:c r="G924"/>
      <x:c r="J924"/>
    </x:row>
    <x:row r="925" ht="13.5" customHeight="1">
      <x:c r="G925"/>
      <x:c r="J925"/>
    </x:row>
    <x:row r="926" ht="13.5" customHeight="1">
      <x:c r="G926"/>
      <x:c r="J926"/>
    </x:row>
    <x:row r="927" ht="13.5" customHeight="1">
      <x:c r="G927"/>
      <x:c r="J927"/>
    </x:row>
    <x:row r="928" ht="13.5" customHeight="1">
      <x:c r="G928"/>
      <x:c r="J928"/>
    </x:row>
    <x:row r="929" ht="13.5" customHeight="1">
      <x:c r="G929"/>
      <x:c r="J929"/>
    </x:row>
    <x:row r="930" ht="13.5" customHeight="1">
      <x:c r="G930"/>
      <x:c r="J930"/>
    </x:row>
    <x:row r="931" ht="13.5" customHeight="1">
      <x:c r="G931"/>
      <x:c r="J931"/>
    </x:row>
    <x:row r="932" ht="13.5" customHeight="1">
      <x:c r="G932"/>
      <x:c r="J932"/>
    </x:row>
    <x:row r="933" ht="13.5" customHeight="1">
      <x:c r="G933"/>
      <x:c r="J933"/>
    </x:row>
    <x:row r="934" ht="13.5" customHeight="1">
      <x:c r="G934"/>
      <x:c r="J934"/>
    </x:row>
    <x:row r="935" ht="13.5" customHeight="1">
      <x:c r="G935"/>
      <x:c r="J935"/>
    </x:row>
    <x:row r="936" ht="13.5" customHeight="1">
      <x:c r="G936"/>
      <x:c r="J936"/>
    </x:row>
    <x:row r="937" ht="13.5" customHeight="1">
      <x:c r="G937"/>
      <x:c r="J937"/>
    </x:row>
    <x:row r="938" ht="13.5" customHeight="1">
      <x:c r="G938"/>
      <x:c r="J938"/>
    </x:row>
    <x:row r="939" ht="13.5" customHeight="1">
      <x:c r="G939"/>
      <x:c r="J939"/>
    </x:row>
    <x:row r="940" ht="13.5" customHeight="1">
      <x:c r="G940"/>
      <x:c r="J940"/>
    </x:row>
    <x:row r="941" ht="13.5" customHeight="1">
      <x:c r="G941"/>
      <x:c r="J941"/>
    </x:row>
    <x:row r="942" ht="13.5" customHeight="1">
      <x:c r="G942"/>
      <x:c r="J942"/>
    </x:row>
    <x:row r="943" ht="13.5" customHeight="1">
      <x:c r="G943"/>
      <x:c r="J943"/>
    </x:row>
    <x:row r="944" ht="13.5" customHeight="1">
      <x:c r="G944"/>
      <x:c r="J944"/>
    </x:row>
    <x:row r="945" ht="13.5" customHeight="1">
      <x:c r="G945"/>
      <x:c r="J945"/>
    </x:row>
    <x:row r="946" ht="13.5" customHeight="1">
      <x:c r="G946"/>
      <x:c r="J946"/>
    </x:row>
    <x:row r="947" ht="13.5" customHeight="1">
      <x:c r="G947"/>
      <x:c r="J947"/>
    </x:row>
    <x:row r="948" ht="13.5" customHeight="1">
      <x:c r="G948"/>
      <x:c r="J948"/>
    </x:row>
    <x:row r="949" ht="13.5" customHeight="1">
      <x:c r="G949"/>
      <x:c r="J949"/>
    </x:row>
    <x:row r="950" ht="13.5" customHeight="1">
      <x:c r="G950"/>
      <x:c r="J950"/>
    </x:row>
    <x:row r="951" ht="13.5" customHeight="1">
      <x:c r="G951"/>
      <x:c r="J951"/>
    </x:row>
    <x:row r="952" ht="13.5" customHeight="1">
      <x:c r="G952"/>
      <x:c r="J952"/>
    </x:row>
    <x:row r="953" ht="13.5" customHeight="1">
      <x:c r="G953"/>
      <x:c r="J953"/>
    </x:row>
    <x:row r="954" ht="13.5" customHeight="1">
      <x:c r="G954"/>
      <x:c r="J954"/>
    </x:row>
    <x:row r="955" ht="13.5" customHeight="1">
      <x:c r="G955"/>
      <x:c r="J955"/>
    </x:row>
    <x:row r="956" ht="13.5" customHeight="1">
      <x:c r="G956"/>
      <x:c r="J956"/>
    </x:row>
    <x:row r="957" ht="13.5" customHeight="1">
      <x:c r="G957"/>
      <x:c r="J957"/>
    </x:row>
    <x:row r="958" ht="13.5" customHeight="1">
      <x:c r="G958"/>
      <x:c r="J958"/>
    </x:row>
    <x:row r="959" ht="13.5" customHeight="1">
      <x:c r="G959"/>
      <x:c r="J959"/>
    </x:row>
    <x:row r="960" ht="13.5" customHeight="1">
      <x:c r="G960"/>
      <x:c r="J960"/>
    </x:row>
    <x:row r="961" ht="13.5" customHeight="1">
      <x:c r="G961"/>
      <x:c r="J961"/>
    </x:row>
    <x:row r="962" ht="13.5" customHeight="1">
      <x:c r="G962"/>
      <x:c r="J962"/>
    </x:row>
    <x:row r="963" ht="13.5" customHeight="1">
      <x:c r="G963"/>
      <x:c r="J963"/>
    </x:row>
    <x:row r="964" ht="13.5" customHeight="1">
      <x:c r="G964"/>
      <x:c r="J964"/>
    </x:row>
    <x:row r="965" ht="13.5" customHeight="1">
      <x:c r="G965"/>
      <x:c r="J965"/>
    </x:row>
    <x:row r="966" ht="13.5" customHeight="1">
      <x:c r="G966"/>
      <x:c r="J966"/>
    </x:row>
    <x:row r="967" ht="13.5" customHeight="1">
      <x:c r="G967"/>
      <x:c r="J967"/>
    </x:row>
    <x:row r="968" ht="13.5" customHeight="1">
      <x:c r="G968"/>
      <x:c r="J968"/>
    </x:row>
    <x:row r="969" ht="13.5" customHeight="1">
      <x:c r="G969"/>
      <x:c r="J969"/>
    </x:row>
    <x:row r="970" ht="13.5" customHeight="1">
      <x:c r="G970"/>
      <x:c r="J970"/>
    </x:row>
    <x:row r="971" ht="13.5" customHeight="1">
      <x:c r="G971"/>
      <x:c r="J971"/>
    </x:row>
    <x:row r="972" ht="13.5" customHeight="1">
      <x:c r="G972"/>
      <x:c r="J972"/>
    </x:row>
    <x:row r="973" ht="13.5" customHeight="1">
      <x:c r="G973"/>
      <x:c r="J973"/>
    </x:row>
    <x:row r="974" ht="13.5" customHeight="1">
      <x:c r="G974"/>
      <x:c r="J974"/>
    </x:row>
    <x:row r="975" ht="13.5" customHeight="1">
      <x:c r="G975"/>
      <x:c r="J975"/>
    </x:row>
    <x:row r="976" ht="13.5" customHeight="1">
      <x:c r="G976"/>
      <x:c r="J976"/>
    </x:row>
    <x:row r="977" ht="13.5" customHeight="1">
      <x:c r="G977"/>
      <x:c r="J977"/>
    </x:row>
    <x:row r="978" ht="13.5" customHeight="1">
      <x:c r="G978"/>
      <x:c r="J978"/>
    </x:row>
    <x:row r="979" ht="13.5" customHeight="1">
      <x:c r="G979"/>
      <x:c r="J979"/>
    </x:row>
    <x:row r="980" ht="13.5" customHeight="1">
      <x:c r="G980"/>
      <x:c r="J980"/>
    </x:row>
    <x:row r="981" ht="13.5" customHeight="1">
      <x:c r="G981"/>
      <x:c r="J981"/>
    </x:row>
    <x:row r="982" ht="13.5" customHeight="1">
      <x:c r="G982"/>
      <x:c r="J982"/>
    </x:row>
    <x:row r="983" ht="13.5" customHeight="1">
      <x:c r="G983"/>
      <x:c r="J983"/>
    </x:row>
    <x:row r="984" ht="13.5" customHeight="1">
      <x:c r="G984"/>
      <x:c r="J984"/>
    </x:row>
    <x:row r="985" ht="13.5" customHeight="1">
      <x:c r="G985"/>
      <x:c r="J985"/>
    </x:row>
    <x:row r="986" ht="13.5" customHeight="1">
      <x:c r="G986"/>
      <x:c r="J986"/>
    </x:row>
    <x:row r="987" ht="13.5" customHeight="1">
      <x:c r="G987"/>
      <x:c r="J987"/>
    </x:row>
    <x:row r="988" ht="13.5" customHeight="1">
      <x:c r="G988"/>
      <x:c r="J988"/>
    </x:row>
    <x:row r="989" ht="13.5" customHeight="1">
      <x:c r="G989"/>
      <x:c r="J989"/>
    </x:row>
    <x:row r="990" ht="13.5" customHeight="1">
      <x:c r="G990"/>
      <x:c r="J990"/>
    </x:row>
    <x:row r="991" ht="13.5" customHeight="1">
      <x:c r="G991"/>
      <x:c r="J991"/>
    </x:row>
    <x:row r="992" ht="13.5" customHeight="1">
      <x:c r="G992"/>
      <x:c r="J992"/>
    </x:row>
    <x:row r="993" ht="13.5" customHeight="1">
      <x:c r="G993"/>
      <x:c r="J993"/>
    </x:row>
    <x:row r="994" ht="13.5" customHeight="1">
      <x:c r="G994"/>
      <x:c r="J994"/>
    </x:row>
    <x:row r="995" ht="13.5" customHeight="1">
      <x:c r="G995"/>
      <x:c r="J995"/>
    </x:row>
    <x:row r="996" ht="13.5" customHeight="1">
      <x:c r="G996"/>
      <x:c r="J996"/>
    </x:row>
    <x:row r="997" ht="13.5" customHeight="1">
      <x:c r="G997"/>
      <x:c r="J997"/>
    </x:row>
    <x:row r="998" ht="13.5" customHeight="1">
      <x:c r="G998"/>
      <x:c r="J998"/>
    </x:row>
    <x:row r="999" ht="13.5" customHeight="1">
      <x:c r="G999"/>
      <x:c r="J999"/>
    </x:row>
    <x:row r="1000" ht="13.5" customHeight="1">
      <x:c r="G1000"/>
      <x:c r="J1000"/>
    </x:row>
  </x:sheetData>
  <x:mergeCells>
    <x:mergeCell ref="G3:H3"/>
    <x:mergeCell ref="A6:I6"/>
    <x:mergeCell ref="B9:C9"/>
    <x:mergeCell ref="B15:C15"/>
    <x:mergeCell ref="B21:C21"/>
    <x:mergeCell ref="B56:C56"/>
  </x:mergeCells>
  <x:conditionalFormatting sqref="M10:BB14">
    <x:cfRule type="expression" dxfId="2" priority="1" stopIfTrue="1">
      <x:formula>NOT(AND(MAX($K10,$H10)&gt;=M$5,MIN($J10,$G10)&lt;N$5))</x:formula>
    </x:cfRule>
  </x:conditionalFormatting>
  <x:conditionalFormatting sqref="M10:BB14">
    <x:cfRule type="expression" dxfId="3" priority="2">
      <x:formula>AND($H10&gt;=M$5,$G10&lt;N$5)</x:formula>
    </x:cfRule>
  </x:conditionalFormatting>
  <x:conditionalFormatting sqref="M10:BB14">
    <x:cfRule type="expression" dxfId="4" priority="3" stopIfTrue="1">
      <x:formula>AND($K10&gt;=M$5,$J10&lt;N$5)</x:formula>
    </x:cfRule>
  </x:conditionalFormatting>
  <x:conditionalFormatting sqref="M16:BB20 M21:BN71">
    <x:cfRule type="expression" dxfId="5" priority="4">
      <x:formula>AND(TODAY()&gt;=M$5,TODAY()&lt;N$5)</x:formula>
    </x:cfRule>
  </x:conditionalFormatting>
  <x:conditionalFormatting sqref="M6:BN9 BO7:BO7 BC14:BN14">
    <x:cfRule type="expression" dxfId="5" priority="5">
      <x:formula>AND(TODAY()&gt;=M$5,TODAY()&lt;N$5)</x:formula>
    </x:cfRule>
  </x:conditionalFormatting>
  <x:conditionalFormatting sqref="M8:BN9 M15:BN15 M16:BB47 M54:BN71 BC10:BN12 BC14:BN14 BC16:BN19 BC20:CB20 BC21:BN47">
    <x:cfRule type="expression" dxfId="3" priority="6">
      <x:formula>AND($H8&gt;=M$5,$G8&lt;N$5)</x:formula>
    </x:cfRule>
  </x:conditionalFormatting>
  <x:conditionalFormatting sqref="M8:BN9 M15:BN15 M16:BB47 M54:BN71 BC10:BN12 BC14:BN14 BC16:BN19 BC20:CB20 BC21:BN47">
    <x:cfRule type="expression" dxfId="4" priority="7" stopIfTrue="1">
      <x:formula>AND($K8&gt;=M$5,$J8&lt;N$5)</x:formula>
    </x:cfRule>
  </x:conditionalFormatting>
  <x:conditionalFormatting sqref="M8:BN9 M15:BN15 M16:BB47 M54:BN71 BC10:BN12 BC14:BN14 BC16:BN19 BC20:CB20 BC21:BN47">
    <x:cfRule type="expression" dxfId="2" priority="8" stopIfTrue="1">
      <x:formula>NOT(AND(MAX($K8,$H8)&gt;=M$5,MIN($J8,$G8)&lt;N$5))</x:formula>
    </x:cfRule>
  </x:conditionalFormatting>
  <x:conditionalFormatting sqref="M15:BN15">
    <x:cfRule type="expression" dxfId="5" priority="9">
      <x:formula>AND(TODAY()&gt;=M$5,TODAY()&lt;N$5)</x:formula>
    </x:cfRule>
  </x:conditionalFormatting>
  <x:conditionalFormatting sqref="M48:BN48">
    <x:cfRule type="expression" dxfId="2" priority="10" stopIfTrue="1">
      <x:formula>NOT(AND(MAX($K48,#REF!)&gt;=M$5,MIN($J48,#REF!)&lt;N$5))</x:formula>
    </x:cfRule>
  </x:conditionalFormatting>
  <x:conditionalFormatting sqref="M48:BN48">
    <x:cfRule type="expression" dxfId="3" priority="11">
      <x:formula>AND(#REF!&gt;=M$5,#REF!&lt;N$5)</x:formula>
    </x:cfRule>
  </x:conditionalFormatting>
  <x:conditionalFormatting sqref="M48:BN48">
    <x:cfRule type="expression" dxfId="4" priority="12" stopIfTrue="1">
      <x:formula>AND($K48&gt;=M$5,$J48&lt;N$5)</x:formula>
    </x:cfRule>
  </x:conditionalFormatting>
  <x:conditionalFormatting sqref="M49:BN50">
    <x:cfRule type="expression" dxfId="2" priority="13" stopIfTrue="1">
      <x:formula>NOT(AND(MAX($K49,#REF!)&gt;=M$5,MIN($J49,#REF!)&lt;N$5))</x:formula>
    </x:cfRule>
  </x:conditionalFormatting>
  <x:conditionalFormatting sqref="M49:BN50">
    <x:cfRule type="expression" dxfId="3" priority="14">
      <x:formula>AND(#REF!&gt;=M$5,#REF!&lt;N$5)</x:formula>
    </x:cfRule>
  </x:conditionalFormatting>
  <x:conditionalFormatting sqref="M49:BN50">
    <x:cfRule type="expression" dxfId="4" priority="15" stopIfTrue="1">
      <x:formula>AND($K49&gt;=M$5,$J49&lt;N$5)</x:formula>
    </x:cfRule>
  </x:conditionalFormatting>
  <x:conditionalFormatting sqref="M51:BN52">
    <x:cfRule type="expression" dxfId="2" priority="16" stopIfTrue="1">
      <x:formula>NOT(AND(MAX($K51,#REF!)&gt;=M$5,MIN($J51,#REF!)&lt;N$5))</x:formula>
    </x:cfRule>
  </x:conditionalFormatting>
  <x:conditionalFormatting sqref="M51:BN52">
    <x:cfRule type="expression" dxfId="3" priority="17">
      <x:formula>AND(#REF!&gt;=M$5,#REF!&lt;N$5)</x:formula>
    </x:cfRule>
  </x:conditionalFormatting>
  <x:conditionalFormatting sqref="M51:BN52">
    <x:cfRule type="expression" dxfId="4" priority="18" stopIfTrue="1">
      <x:formula>AND($K51&gt;=M$5,$J51&lt;N$5)</x:formula>
    </x:cfRule>
  </x:conditionalFormatting>
  <x:conditionalFormatting sqref="M53:BN53">
    <x:cfRule type="expression" dxfId="2" priority="19" stopIfTrue="1">
      <x:formula>NOT(AND(MAX($K53,#REF!)&gt;=M$5,MIN($J53,#REF!)&lt;N$5))</x:formula>
    </x:cfRule>
  </x:conditionalFormatting>
  <x:conditionalFormatting sqref="M53:BN53">
    <x:cfRule type="expression" dxfId="3" priority="20">
      <x:formula>AND(#REF!&gt;=M$5,#REF!&lt;N$5)</x:formula>
    </x:cfRule>
  </x:conditionalFormatting>
  <x:conditionalFormatting sqref="M53:BN53">
    <x:cfRule type="expression" dxfId="4" priority="21" stopIfTrue="1">
      <x:formula>AND($K53&gt;=M$5,$J53&lt;N$5)</x:formula>
    </x:cfRule>
  </x:conditionalFormatting>
  <x:conditionalFormatting sqref="M10:BB14 BC10:BN12">
    <x:cfRule type="expression" dxfId="5" priority="22">
      <x:formula>AND(TODAY()&gt;=M$5,TODAY()&lt;N$5)</x:formula>
    </x:cfRule>
  </x:conditionalFormatting>
  <x:conditionalFormatting sqref="BC16:BN19">
    <x:cfRule type="expression" dxfId="5" priority="23">
      <x:formula>AND(TODAY()&gt;=BC$5,TODAY()&lt;BD$5)</x:formula>
    </x:cfRule>
  </x:conditionalFormatting>
  <x:conditionalFormatting sqref="BC13:CB13">
    <x:cfRule type="expression" dxfId="5" priority="24">
      <x:formula>AND(TODAY()&gt;=BC$5,TODAY()&lt;BD$5)</x:formula>
    </x:cfRule>
  </x:conditionalFormatting>
  <x:conditionalFormatting sqref="BC13:CB13">
    <x:cfRule type="expression" dxfId="2" priority="25" stopIfTrue="1">
      <x:formula>NOT(AND(MAX($K13,$H13)&gt;=BC$5,MIN($J13,$G13)&lt;BD$5))</x:formula>
    </x:cfRule>
  </x:conditionalFormatting>
  <x:conditionalFormatting sqref="BC13:CB13">
    <x:cfRule type="expression" dxfId="3" priority="26">
      <x:formula>AND($H13&gt;=BC$5,$G13&lt;BD$5)</x:formula>
    </x:cfRule>
  </x:conditionalFormatting>
  <x:conditionalFormatting sqref="BC13:CB13">
    <x:cfRule type="expression" dxfId="4" priority="27" stopIfTrue="1">
      <x:formula>AND($K13&gt;=BC$5,$J13&lt;BD$5)</x:formula>
    </x:cfRule>
  </x:conditionalFormatting>
  <x:conditionalFormatting sqref="BC20:CB20">
    <x:cfRule type="expression" dxfId="5" priority="28">
      <x:formula>AND(TODAY()&gt;=BC$5,TODAY()&lt;BD$5)</x:formula>
    </x:cfRule>
  </x:conditionalFormatting>
  <x:dataValidations count="1">
    <x:dataValidation type="list" allowBlank="1" showErrorMessage="1" sqref="G4">
      <x:formula1>"Daily,Weekly,Monthly,Quarterly"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5.5" customWidth="1"/>
    <x:col min="2" max="2" width="17.6299991607666" customWidth="1"/>
    <x:col min="3" max="3" width="13.880000114440918" customWidth="1"/>
    <x:col min="4" max="4" width="14.130000114440918" customWidth="1"/>
    <x:col min="5" max="5" width="33" customWidth="1"/>
    <x:col min="6" max="6" width="19.1299991607666" customWidth="1"/>
    <x:col min="7" max="7" width="26.8799991607666" customWidth="1"/>
    <x:col min="8" max="8" width="19.3799991607666" customWidth="1"/>
    <x:col min="9" max="26" width="9" customWidth="1"/>
  </x:cols>
  <x:sheetData>
    <x:row r="1" ht="15.75" customHeight="1">
      <x:c r="A1" s="97" t="s">
        <x:v>43</x:v>
      </x:c>
      <x:c r="H1" s="199"/>
      <x:c r="I1" s="199"/>
      <x:c r="J1" s="199"/>
      <x:c r="K1" s="199"/>
      <x:c r="L1" s="199"/>
      <x:c r="M1" s="199"/>
      <x:c r="N1" s="199"/>
      <x:c r="O1" s="199"/>
      <x:c r="P1" s="199"/>
      <x:c r="Q1" s="199"/>
      <x:c r="R1" s="199"/>
      <x:c r="S1" s="199"/>
      <x:c r="T1" s="199"/>
      <x:c r="U1" s="199"/>
      <x:c r="V1" s="199"/>
      <x:c r="W1" s="199"/>
      <x:c r="X1" s="199"/>
      <x:c r="Y1" s="199"/>
      <x:c r="Z1" s="199"/>
    </x:row>
    <x:row r="2" ht="15.75" customHeight="1">
      <x:c r="A2" s="200" t="s">
        <x:v>44</x:v>
      </x:c>
      <x:c r="B2" s="200" t="s">
        <x:v>45</x:v>
      </x:c>
      <x:c r="C2" s="200" t="s">
        <x:v>46</x:v>
      </x:c>
      <x:c r="D2" s="200" t="s">
        <x:v>47</x:v>
      </x:c>
      <x:c r="E2" s="200" t="s">
        <x:v>48</x:v>
      </x:c>
      <x:c r="F2" s="200" t="s">
        <x:v>49</x:v>
      </x:c>
      <x:c r="G2" s="200" t="s">
        <x:v>50</x:v>
      </x:c>
      <x:c r="H2" s="200" t="s">
        <x:v>51</x:v>
      </x:c>
      <x:c r="I2" s="199"/>
      <x:c r="J2" s="199"/>
      <x:c r="K2" s="199"/>
      <x:c r="L2" s="199"/>
      <x:c r="M2" s="199"/>
      <x:c r="N2" s="199"/>
      <x:c r="O2" s="199"/>
      <x:c r="P2" s="199"/>
      <x:c r="Q2" s="199"/>
      <x:c r="R2" s="199"/>
      <x:c r="S2" s="199"/>
      <x:c r="T2" s="199"/>
      <x:c r="U2" s="199"/>
      <x:c r="V2" s="199"/>
      <x:c r="W2" s="199"/>
      <x:c r="X2" s="199"/>
      <x:c r="Y2" s="199"/>
      <x:c r="Z2" s="199"/>
    </x:row>
    <x:row r="3" ht="15.75" customHeight="1">
      <x:c r="A3" s="447" t="str">
        <x:v>Nhóm triển khai dự án</x:v>
      </x:c>
      <x:c r="B3" s="448"/>
      <x:c r="C3" s="448"/>
      <x:c r="D3" s="448"/>
      <x:c r="E3" s="448"/>
      <x:c r="F3" s="448"/>
      <x:c r="G3" s="448"/>
      <x:c r="H3" s="449"/>
      <x:c r="I3" s="199"/>
      <x:c r="J3" s="199"/>
      <x:c r="K3" s="199"/>
      <x:c r="L3" s="199"/>
      <x:c r="M3" s="199"/>
      <x:c r="N3" s="199"/>
      <x:c r="O3" s="199"/>
      <x:c r="P3" s="199"/>
      <x:c r="Q3" s="199"/>
      <x:c r="R3" s="199"/>
      <x:c r="S3" s="199"/>
      <x:c r="T3" s="199"/>
      <x:c r="U3" s="199"/>
      <x:c r="V3" s="199"/>
      <x:c r="W3" s="199"/>
      <x:c r="X3" s="199"/>
      <x:c r="Y3" s="199"/>
      <x:c r="Z3" s="199"/>
    </x:row>
    <x:row r="4" ht="15.75" customHeight="1">
      <x:c r="A4" s="450" t="n">
        <x:v>1</x:v>
      </x:c>
      <x:c r="B4" s="450" t="str">
        <x:v>Hoàng Lương</x:v>
      </x:c>
      <x:c r="C4" s="450" t="str">
        <x:v>Nhóm dự án</x:v>
      </x:c>
      <x:c r="D4" s="450" t="str">
        <x:v>Quản trị dự án</x:v>
      </x:c>
      <x:c r="E4" s="450" t="str">
        <x:v>Lập kế hoạch, điều phối, nghiệm thu</x:v>
      </x:c>
      <x:c r="F4" s="451"/>
      <x:c r="G4" s="452"/>
      <x:c r="H4" s="450" t="str">
        <x:v>Đầu mối dự án</x:v>
      </x:c>
      <x:c r="I4" s="199"/>
      <x:c r="J4" s="199"/>
      <x:c r="K4" s="199"/>
      <x:c r="L4" s="199"/>
      <x:c r="M4" s="199"/>
      <x:c r="N4" s="199"/>
      <x:c r="O4" s="199"/>
      <x:c r="P4" s="199"/>
      <x:c r="Q4" s="199"/>
      <x:c r="R4" s="199"/>
      <x:c r="S4" s="199"/>
      <x:c r="T4" s="199"/>
      <x:c r="U4" s="199"/>
      <x:c r="V4" s="199"/>
      <x:c r="W4" s="199"/>
      <x:c r="X4" s="199"/>
      <x:c r="Y4" s="199"/>
      <x:c r="Z4" s="199"/>
    </x:row>
    <x:row r="5" ht="15.75" customHeight="1">
      <x:c r="A5" s="450" t="n">
        <x:v>2</x:v>
      </x:c>
      <x:c r="B5" s="450" t="str">
        <x:v>Chưa phân công</x:v>
      </x:c>
      <x:c r="C5" s="450" t="str">
        <x:v>Nhóm dự án</x:v>
      </x:c>
      <x:c r="D5" s="450" t="str">
        <x:v>Business Analyst</x:v>
      </x:c>
      <x:c r="E5" s="450" t="str">
        <x:v>Phân tích nghiệp vụ, SRS, UAT</x:v>
      </x:c>
      <x:c r="F5" s="451"/>
      <x:c r="G5" s="452"/>
      <x:c r="H5" s="450" t="str">
        <x:v>Cần cập nhật người phụ trách</x:v>
      </x:c>
      <x:c r="I5" s="199"/>
      <x:c r="J5" s="199"/>
      <x:c r="K5" s="199"/>
      <x:c r="L5" s="199"/>
      <x:c r="M5" s="199"/>
      <x:c r="N5" s="199"/>
      <x:c r="O5" s="199"/>
      <x:c r="P5" s="199"/>
      <x:c r="Q5" s="199"/>
      <x:c r="R5" s="199"/>
      <x:c r="S5" s="199"/>
      <x:c r="T5" s="199"/>
      <x:c r="U5" s="199"/>
      <x:c r="V5" s="199"/>
      <x:c r="W5" s="199"/>
      <x:c r="X5" s="199"/>
      <x:c r="Y5" s="199"/>
      <x:c r="Z5" s="199"/>
    </x:row>
    <x:row r="6" ht="15.75" customHeight="1">
      <x:c r="A6" s="450" t="n">
        <x:v>3</x:v>
      </x:c>
      <x:c r="B6" s="450" t="str">
        <x:v>Chưa phân công</x:v>
      </x:c>
      <x:c r="C6" s="450" t="str">
        <x:v>Nhóm dự án</x:v>
      </x:c>
      <x:c r="D6" s="450" t="str">
        <x:v>Tech Lead / Backend</x:v>
      </x:c>
      <x:c r="E6" s="450" t="str">
        <x:v>Kiến trúc, API, bảo mật, FEFO</x:v>
      </x:c>
      <x:c r="F6" s="451"/>
      <x:c r="G6" s="450"/>
      <x:c r="H6" s="450" t="str">
        <x:v>Cần cập nhật người phụ trách</x:v>
      </x:c>
      <x:c r="I6" s="199"/>
      <x:c r="J6" s="199"/>
      <x:c r="K6" s="199"/>
      <x:c r="L6" s="199"/>
      <x:c r="M6" s="199"/>
      <x:c r="N6" s="199"/>
      <x:c r="O6" s="199"/>
      <x:c r="P6" s="199"/>
      <x:c r="Q6" s="199"/>
      <x:c r="R6" s="199"/>
      <x:c r="S6" s="199"/>
      <x:c r="T6" s="199"/>
      <x:c r="U6" s="199"/>
      <x:c r="V6" s="199"/>
      <x:c r="W6" s="199"/>
      <x:c r="X6" s="199"/>
      <x:c r="Y6" s="199"/>
      <x:c r="Z6" s="199"/>
    </x:row>
    <x:row r="7" ht="15.75" customHeight="1">
      <x:c r="A7" s="450" t="n">
        <x:v>4</x:v>
      </x:c>
      <x:c r="B7" s="450" t="str">
        <x:v>Chưa phân công</x:v>
      </x:c>
      <x:c r="C7" s="450" t="str">
        <x:v>Nhóm dự án</x:v>
      </x:c>
      <x:c r="D7" s="450" t="str">
        <x:v>Frontend Developer</x:v>
      </x:c>
      <x:c r="E7" s="450" t="str">
        <x:v>React UI, state, responsive</x:v>
      </x:c>
      <x:c r="F7" s="451"/>
      <x:c r="G7" s="450"/>
      <x:c r="H7" s="450" t="str">
        <x:v>Cần cập nhật người phụ trách</x:v>
      </x:c>
      <x:c r="I7" s="199"/>
      <x:c r="J7" s="199"/>
      <x:c r="K7" s="199"/>
      <x:c r="L7" s="199"/>
      <x:c r="M7" s="199"/>
      <x:c r="N7" s="199"/>
      <x:c r="O7" s="199"/>
      <x:c r="P7" s="199"/>
      <x:c r="Q7" s="199"/>
      <x:c r="R7" s="199"/>
      <x:c r="S7" s="199"/>
      <x:c r="T7" s="199"/>
      <x:c r="U7" s="199"/>
      <x:c r="V7" s="199"/>
      <x:c r="W7" s="199"/>
      <x:c r="X7" s="199"/>
      <x:c r="Y7" s="199"/>
      <x:c r="Z7" s="199"/>
    </x:row>
    <x:row r="8" ht="15.75" customHeight="1">
      <x:c r="A8" s="450" t="n">
        <x:v>5</x:v>
      </x:c>
      <x:c r="B8" s="450" t="str">
        <x:v>Chưa phân công</x:v>
      </x:c>
      <x:c r="C8" s="450" t="str">
        <x:v>Nhóm dự án</x:v>
      </x:c>
      <x:c r="D8" s="450" t="str">
        <x:v>QA Engineer</x:v>
      </x:c>
      <x:c r="E8" s="450" t="str">
        <x:v>Test plan, regression, UAT</x:v>
      </x:c>
      <x:c r="F8" s="451"/>
      <x:c r="G8" s="450"/>
      <x:c r="H8" s="450" t="str">
        <x:v>Cần cập nhật người phụ trách</x:v>
      </x:c>
      <x:c r="I8" s="199"/>
      <x:c r="J8" s="199"/>
      <x:c r="K8" s="199"/>
      <x:c r="L8" s="199"/>
      <x:c r="M8" s="199"/>
      <x:c r="N8" s="199"/>
      <x:c r="O8" s="199"/>
      <x:c r="P8" s="199"/>
      <x:c r="Q8" s="199"/>
      <x:c r="R8" s="199"/>
      <x:c r="S8" s="199"/>
      <x:c r="T8" s="199"/>
      <x:c r="U8" s="199"/>
      <x:c r="V8" s="199"/>
      <x:c r="W8" s="199"/>
      <x:c r="X8" s="199"/>
      <x:c r="Y8" s="199"/>
      <x:c r="Z8" s="199"/>
    </x:row>
    <x:row r="9" ht="15.75" customHeight="1">
      <x:c r="A9" s="450" t="n">
        <x:v>6</x:v>
      </x:c>
      <x:c r="B9" s="450" t="str">
        <x:v>Chưa phân công</x:v>
      </x:c>
      <x:c r="C9" s="450" t="str">
        <x:v>Nhóm dự án</x:v>
      </x:c>
      <x:c r="D9" s="450" t="str">
        <x:v>DevOps</x:v>
      </x:c>
      <x:c r="E9" s="450" t="str">
        <x:v>CI/CD, hạ tầng, backup, monitoring</x:v>
      </x:c>
      <x:c r="F9" s="451"/>
      <x:c r="G9" s="450"/>
      <x:c r="H9" s="450" t="str">
        <x:v>Cần cập nhật người phụ trách</x:v>
      </x:c>
      <x:c r="I9" s="199"/>
      <x:c r="J9" s="199"/>
      <x:c r="K9" s="199"/>
      <x:c r="L9" s="199"/>
      <x:c r="M9" s="199"/>
      <x:c r="N9" s="199"/>
      <x:c r="O9" s="199"/>
      <x:c r="P9" s="199"/>
      <x:c r="Q9" s="199"/>
      <x:c r="R9" s="199"/>
      <x:c r="S9" s="199"/>
      <x:c r="T9" s="199"/>
      <x:c r="U9" s="199"/>
      <x:c r="V9" s="199"/>
      <x:c r="W9" s="199"/>
      <x:c r="X9" s="199"/>
      <x:c r="Y9" s="199"/>
      <x:c r="Z9" s="199"/>
    </x:row>
    <x:row r="10" ht="15.75" customHeight="1">
      <x:c r="A10" s="450" t="str">
        <x:v>Đơn vị nghiệp vụ / Khách hàng</x:v>
      </x:c>
      <x:c r="B10" s="450"/>
      <x:c r="C10" s="450"/>
      <x:c r="D10" s="450"/>
      <x:c r="E10" s="450"/>
      <x:c r="F10" s="451"/>
      <x:c r="G10" s="450"/>
      <x:c r="H10" s="450"/>
      <x:c r="I10" s="199"/>
      <x:c r="J10" s="199"/>
      <x:c r="K10" s="199"/>
      <x:c r="L10" s="199"/>
      <x:c r="M10" s="199"/>
      <x:c r="N10" s="199"/>
      <x:c r="O10" s="199"/>
      <x:c r="P10" s="199"/>
      <x:c r="Q10" s="199"/>
      <x:c r="R10" s="199"/>
      <x:c r="S10" s="199"/>
      <x:c r="T10" s="199"/>
      <x:c r="U10" s="199"/>
      <x:c r="V10" s="199"/>
      <x:c r="W10" s="199"/>
      <x:c r="X10" s="199"/>
      <x:c r="Y10" s="199"/>
      <x:c r="Z10" s="199"/>
    </x:row>
    <x:row r="11" ht="15.75" customHeight="1">
      <x:c r="A11" s="447" t="n">
        <x:v>1</x:v>
      </x:c>
      <x:c r="B11" s="448" t="str">
        <x:v>Chưa phân công</x:v>
      </x:c>
      <x:c r="C11" s="448" t="str">
        <x:v>Đơn vị F&amp;B</x:v>
      </x:c>
      <x:c r="D11" s="448" t="str">
        <x:v>Product Owner</x:v>
      </x:c>
      <x:c r="E11" s="448" t="str">
        <x:v>Phê duyệt phạm vi và nghiệm thu</x:v>
      </x:c>
      <x:c r="F11" s="448"/>
      <x:c r="G11" s="448"/>
      <x:c r="H11" s="449" t="str">
        <x:v>Cần cập nhật đại diện</x:v>
      </x:c>
      <x:c r="I11" s="199"/>
      <x:c r="J11" s="199"/>
      <x:c r="K11" s="199"/>
      <x:c r="L11" s="199"/>
      <x:c r="M11" s="199"/>
      <x:c r="N11" s="199"/>
      <x:c r="O11" s="199"/>
      <x:c r="P11" s="199"/>
      <x:c r="Q11" s="199"/>
      <x:c r="R11" s="199"/>
      <x:c r="S11" s="199"/>
      <x:c r="T11" s="199"/>
      <x:c r="U11" s="199"/>
      <x:c r="V11" s="199"/>
      <x:c r="W11" s="199"/>
      <x:c r="X11" s="199"/>
      <x:c r="Y11" s="199"/>
      <x:c r="Z11" s="199"/>
    </x:row>
    <x:row r="12" ht="15.75" customHeight="1">
      <x:c r="A12" s="450" t="n">
        <x:v>2</x:v>
      </x:c>
      <x:c r="B12" s="450" t="str">
        <x:v>Chưa phân công</x:v>
      </x:c>
      <x:c r="C12" s="450" t="str">
        <x:v>Đơn vị F&amp;B</x:v>
      </x:c>
      <x:c r="D12" s="450" t="str">
        <x:v>Quản lý cửa hàng</x:v>
      </x:c>
      <x:c r="E12" s="450" t="str">
        <x:v>Cung cấp quy trình và dữ liệu UAT</x:v>
      </x:c>
      <x:c r="F12" s="451"/>
      <x:c r="G12" s="450"/>
      <x:c r="H12" s="453" t="str">
        <x:v>Cần cập nhật đại diện</x:v>
      </x:c>
      <x:c r="I12" s="98"/>
      <x:c r="J12" s="98"/>
      <x:c r="K12" s="98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8"/>
      <x:c r="Y12" s="98"/>
      <x:c r="Z12" s="98"/>
    </x:row>
    <x:row r="13" ht="15.75" customHeight="1">
      <x:c r="A13" s="450" t="n">
        <x:v>3</x:v>
      </x:c>
      <x:c r="B13" s="450" t="str">
        <x:v>Chưa phân công</x:v>
      </x:c>
      <x:c r="C13" s="450" t="str">
        <x:v>Đơn vị F&amp;B</x:v>
      </x:c>
      <x:c r="D13" s="450" t="str">
        <x:v>Nhân viên kho</x:v>
      </x:c>
      <x:c r="E13" s="450" t="str">
        <x:v>Thử nghiệm nhập/xuất và hao hụt</x:v>
      </x:c>
      <x:c r="F13" s="451"/>
      <x:c r="G13" s="450"/>
      <x:c r="H13" s="453" t="str">
        <x:v>Cần cập nhật đại diện</x:v>
      </x:c>
      <x:c r="I13" s="98"/>
      <x:c r="J13" s="98"/>
      <x:c r="K13" s="98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98"/>
      <x:c r="Y13" s="98"/>
      <x:c r="Z13" s="98"/>
    </x:row>
    <x:row r="14" ht="15.75" customHeight="1">
      <x:c r="A14" s="450"/>
      <x:c r="B14" s="450"/>
      <x:c r="C14" s="450"/>
      <x:c r="D14" s="450"/>
      <x:c r="E14" s="450"/>
      <x:c r="F14" s="451"/>
      <x:c r="G14" s="450"/>
      <x:c r="H14" s="453"/>
      <x:c r="I14" s="98"/>
      <x:c r="J14" s="98"/>
      <x:c r="K14" s="98"/>
      <x:c r="L14" s="98"/>
      <x:c r="M14" s="98"/>
      <x:c r="N14" s="98"/>
      <x:c r="O14" s="98"/>
      <x:c r="P14" s="98"/>
      <x:c r="Q14" s="98"/>
      <x:c r="R14" s="98"/>
      <x:c r="S14" s="98"/>
      <x:c r="T14" s="98"/>
      <x:c r="U14" s="98"/>
      <x:c r="V14" s="98"/>
      <x:c r="W14" s="98"/>
      <x:c r="X14" s="98"/>
      <x:c r="Y14" s="98"/>
      <x:c r="Z14" s="98"/>
    </x:row>
    <x:row r="15" ht="15.75" customHeight="1">
      <x:c r="A15" s="450"/>
      <x:c r="B15" s="450"/>
      <x:c r="C15" s="450"/>
      <x:c r="D15" s="450"/>
      <x:c r="E15" s="450"/>
      <x:c r="F15" s="451"/>
      <x:c r="G15" s="450"/>
      <x:c r="H15" s="453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</x:row>
    <x:row r="16" ht="15.75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15.7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15.7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15.7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15.7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15.7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15.7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15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15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15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5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5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5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5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5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5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5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5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5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5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5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5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5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5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5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5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5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5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5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5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5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5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5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5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5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5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5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5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5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5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5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5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5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5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5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5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5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5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5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5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5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5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5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5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5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5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5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5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5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5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5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5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5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5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5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5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5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5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5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5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5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5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5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5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5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5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5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5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5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5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5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5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5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5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5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5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5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5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5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5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5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5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5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5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5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5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5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5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5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5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5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5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5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5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5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5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5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5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5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5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5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5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5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5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5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5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5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5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5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5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5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5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5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5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5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5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5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5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5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5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5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5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5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5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5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5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5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5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5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5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5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5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5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5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5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5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5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5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5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5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5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5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5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5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5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5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5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5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5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5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5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5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5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5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5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5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5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5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5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5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5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5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5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5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5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5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5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5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5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5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5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5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5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5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5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5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5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5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5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5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5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5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5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5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5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5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5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5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5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5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5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5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5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5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5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5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5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5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5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5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5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5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5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5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5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5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5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5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5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5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5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5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5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5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5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5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5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5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5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5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5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5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5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5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5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5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5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5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5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5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5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5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5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5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5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5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5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5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5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5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5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5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5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5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5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5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5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5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5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5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5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5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5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5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5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5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5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5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5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5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5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5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5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5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5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5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5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5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5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5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5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5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5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5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5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5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5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5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5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5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5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5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5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5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5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5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5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5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5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5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5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5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5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5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5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5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5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5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5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5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5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5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5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5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5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5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5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5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5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5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5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5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5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5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5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5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5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5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5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5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5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5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5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5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5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5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5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5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5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5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5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5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5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5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5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5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5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5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5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5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5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5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5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5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5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5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5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5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5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5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5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5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5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5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5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5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5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5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5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5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5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5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5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5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5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5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5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5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5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5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5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5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5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5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5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5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5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5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5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5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5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5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5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5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5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5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5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5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5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5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5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5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5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5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5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5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5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5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5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5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5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5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5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5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5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5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5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5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5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5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5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5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5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5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5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5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5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5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5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5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5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5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5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5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5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5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5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5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5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5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5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5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5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5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5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5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5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5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5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5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5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5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5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5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5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5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5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5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5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5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5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5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5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5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5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5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5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5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5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5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5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5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5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5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5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5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5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5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5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5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5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5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5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5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5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5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5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5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5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5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5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5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5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5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5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5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5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5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5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5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5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5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5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5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5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5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5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5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5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5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5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5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5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5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5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5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5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5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5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5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5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5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5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5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5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5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5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5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5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5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5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5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5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5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5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5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5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5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5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5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5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5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5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5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5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5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5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5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5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5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5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5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5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5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5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5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5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5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5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5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5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5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5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5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5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5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5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5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5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5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5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5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5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5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5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5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5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5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5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5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5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5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5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5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5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5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5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5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5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5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5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5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5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5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5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5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5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5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5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5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5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5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5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5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5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5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5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5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5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5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5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5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5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5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5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5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5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5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5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5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5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5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5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5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5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5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5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5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5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5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5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5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5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5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5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5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5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5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5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5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5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5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5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5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5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5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5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5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5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5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5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5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5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5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5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5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5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5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5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5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5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5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5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5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5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5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5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5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5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5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5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5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5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5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5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5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5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5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5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5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5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5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5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5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5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5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5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5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5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5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5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5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5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5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5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5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5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5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5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5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5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5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5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5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5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5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5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5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5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5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5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5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5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5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5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5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5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5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5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5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5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5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5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5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5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5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5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5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5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5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5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5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5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5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5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5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5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5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5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5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5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5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5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5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5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5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5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5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5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5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5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5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5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5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5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5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5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5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5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5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5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5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5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5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5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5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5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5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5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5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5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5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5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5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5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5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5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5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5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5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5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5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5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5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5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5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5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5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5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5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5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5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5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5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5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5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5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5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5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5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5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5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5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5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5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5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5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5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5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5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5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5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5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5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5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5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5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5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5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5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5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5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5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5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5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5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5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5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5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5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5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5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5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5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5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5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5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</x:sheetData>
  <x:mergeCells>
    <x:mergeCell ref="A1:G1"/>
    <x:mergeCell ref="A3:H3"/>
    <x:mergeCell ref="A11:H11"/>
  </x:mergeCells>
  <x:hyperlinks>
    <x:hyperlink xmlns:r="http://schemas.openxmlformats.org/officeDocument/2006/relationships" ref="G4" r:id="R67577b3ace134c96"/>
    <x:hyperlink xmlns:r="http://schemas.openxmlformats.org/officeDocument/2006/relationships" ref="G5" r:id="R0b7e9917226e43c5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4.130000114440918" customWidth="1"/>
    <x:col min="2" max="2" width="11.5" customWidth="1"/>
    <x:col min="3" max="3" width="15.630000114440918" customWidth="1"/>
    <x:col min="4" max="4" width="13.880000114440918" customWidth="1"/>
    <x:col min="5" max="5" width="16.8799991607666" customWidth="1"/>
    <x:col min="6" max="6" width="49.630001068115234" customWidth="1"/>
    <x:col min="7" max="7" width="10" customWidth="1"/>
    <x:col min="8" max="8" width="11.630000114440918" customWidth="1"/>
    <x:col min="9" max="9" width="15.130000114440918" customWidth="1"/>
    <x:col min="10" max="10" width="19.5" customWidth="1"/>
    <x:col min="11" max="11" width="22" customWidth="1"/>
    <x:col min="12" max="26" width="8.880000114440918" customWidth="1"/>
  </x:cols>
  <x:sheetData>
    <x:row r="1" ht="12.75" customHeight="1">
      <x:c r="A1" s="209"/>
      <x:c r="B1" s="210"/>
      <x:c r="C1" s="211"/>
      <x:c r="D1" s="212"/>
      <x:c r="E1" s="213"/>
      <x:c r="F1" s="214"/>
      <x:c r="G1" s="215"/>
      <x:c r="H1" s="216"/>
      <x:c r="I1" s="216"/>
      <x:c r="J1" s="217"/>
      <x:c r="K1" s="218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 ht="12.75" customHeight="1">
      <x:c r="A2" s="219"/>
      <x:c r="B2" s="67"/>
      <x:c r="C2" s="220"/>
      <x:c r="D2" s="221"/>
      <x:c r="E2" s="222"/>
      <x:c r="F2" s="223" t="str">
        <x:v>DỰ ÁN AI INVENTORY &amp; WASTE MANAGER</x:v>
      </x:c>
      <x:c r="G2" s="67"/>
      <x:c r="H2" s="224"/>
      <x:c r="I2" s="224"/>
      <x:c r="J2" s="225"/>
      <x:c r="K2" s="226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 ht="29.25" customHeight="1">
      <x:c r="A3" s="219"/>
      <x:c r="B3" s="67"/>
      <x:c r="C3" s="220"/>
      <x:c r="D3" s="221"/>
      <x:c r="E3" s="222"/>
      <x:c r="F3" s="227" t="s">
        <x:v>52</x:v>
      </x:c>
      <x:c r="G3" s="228"/>
      <x:c r="H3" s="229"/>
      <x:c r="I3" s="230" t="s">
        <x:v>53</x:v>
      </x:c>
      <x:c r="J3" s="45"/>
      <x:c r="K3" s="231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 ht="12.75" customHeight="1">
      <x:c r="A4" s="219"/>
      <x:c r="B4" s="67"/>
      <x:c r="C4" s="220"/>
      <x:c r="D4" s="221"/>
      <x:c r="E4" s="232"/>
      <x:c r="F4" s="233"/>
      <x:c r="G4" s="234"/>
      <x:c r="H4" s="235"/>
      <x:c r="I4" s="236" t="s">
        <x:v>54</x:v>
      </x:c>
      <x:c r="J4" s="237" t="s">
        <x:v>55</x:v>
      </x:c>
      <x:c r="K4" s="238" t="n">
        <x:f t="shared" ref="K4:K9" si="1">COUNTIF(G13:G200,J4)</x:f>
        <x:v>5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 ht="12.75" customHeight="1">
      <x:c r="A5" s="219"/>
      <x:c r="B5" s="67"/>
      <x:c r="C5" s="220"/>
      <x:c r="D5" s="221"/>
      <x:c r="E5" s="232"/>
      <x:c r="F5" s="239" t="str">
        <x:v>Project Manager: Hoàng Lương
Quản trị dự án</x:v>
      </x:c>
      <x:c r="G5" s="240"/>
      <x:c r="H5" s="241"/>
      <x:c r="I5" s="236" t="s">
        <x:v>56</x:v>
      </x:c>
      <x:c r="J5" s="242" t="s">
        <x:v>57</x:v>
      </x:c>
      <x:c r="K5" s="238" t="n">
        <x:f t="shared" si="1">COUNTIF(G13:G200,J5)</x:f>
        <x:v>2</x:v>
      </x:c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 ht="12.75" customHeight="1">
      <x:c r="A6" s="219"/>
      <x:c r="B6" s="67"/>
      <x:c r="C6" s="220"/>
      <x:c r="D6" s="221"/>
      <x:c r="E6" s="233"/>
      <x:c r="F6" s="239" t="str">
        <x:v>Workstream Lead: Tech Lead
Trưởng nhóm công việc</x:v>
      </x:c>
      <x:c r="G6" s="240"/>
      <x:c r="H6" s="241"/>
      <x:c r="I6" s="236" t="s">
        <x:v>58</x:v>
      </x:c>
      <x:c r="J6" s="243" t="s">
        <x:v>59</x:v>
      </x:c>
      <x:c r="K6" s="238" t="n">
        <x:f t="shared" si="1">COUNTIF(G13:G200,J6)</x:f>
        <x:v>1</x:v>
      </x:c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 ht="12.75" customHeight="1">
      <x:c r="A7" s="219"/>
      <x:c r="B7" s="67"/>
      <x:c r="C7" s="220"/>
      <x:c r="D7" s="221"/>
      <x:c r="E7" s="233"/>
      <x:c r="F7" s="239" t="str">
        <x:v>Updated by: Hoàng Lương
Cập nhật bởi</x:v>
      </x:c>
      <x:c r="G7" s="240"/>
      <x:c r="H7" s="241"/>
      <x:c r="I7" s="236" t="s">
        <x:v>60</x:v>
      </x:c>
      <x:c r="J7" s="244" t="s">
        <x:v>61</x:v>
      </x:c>
      <x:c r="K7" s="238" t="n">
        <x:f t="shared" si="1">COUNTIF(G13:G200,J7)</x:f>
        <x:v>0</x:v>
      </x:c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 ht="12.75" customHeight="1">
      <x:c r="A8" s="219"/>
      <x:c r="B8" s="67"/>
      <x:c r="C8" s="220"/>
      <x:c r="D8" s="221"/>
      <x:c r="E8" s="233"/>
      <x:c r="F8" s="232" t="str">
        <x:v>Updated on: 14/07/2026
Ngày cập nhật</x:v>
      </x:c>
      <x:c r="G8" s="245"/>
      <x:c r="H8" s="241"/>
      <x:c r="I8" s="236" t="s">
        <x:v>62</x:v>
      </x:c>
      <x:c r="J8" s="246" t="s">
        <x:v>63</x:v>
      </x:c>
      <x:c r="K8" s="238" t="n">
        <x:f t="shared" si="1">COUNTIF(G13:G200,J8)</x:f>
        <x:v>0</x:v>
      </x:c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 ht="12.75" customHeight="1">
      <x:c r="A9" s="247"/>
      <x:c r="B9" s="248"/>
      <x:c r="C9" s="249"/>
      <x:c r="D9" s="250"/>
      <x:c r="E9" s="251"/>
      <x:c r="F9" s="252"/>
      <x:c r="G9" s="245"/>
      <x:c r="H9" s="241"/>
      <x:c r="I9" s="236" t="s">
        <x:v>64</x:v>
      </x:c>
      <x:c r="J9" s="253" t="s">
        <x:v>65</x:v>
      </x:c>
      <x:c r="K9" s="254" t="n">
        <x:f t="shared" si="1">COUNTIF(G13:G200,J9)</x:f>
        <x:v>0</x:v>
      </x:c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 ht="12.75" customHeight="1">
      <x:c r="A10" s="67"/>
      <x:c r="B10" s="67"/>
      <x:c r="C10" s="220"/>
      <x:c r="D10" s="221"/>
      <x:c r="E10" s="233"/>
      <x:c r="F10" s="232"/>
      <x:c r="G10" s="255"/>
      <x:c r="H10" s="241"/>
      <x:c r="I10" s="241"/>
      <x:c r="J10" s="256"/>
      <x:c r="K10" s="257" t="n">
        <x:f>SUM(K4:K9)</x:f>
        <x:v>8</x:v>
      </x:c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 ht="12.75" customHeight="1">
      <x:c r="A11" s="248"/>
      <x:c r="B11" s="248"/>
      <x:c r="C11" s="249"/>
      <x:c r="D11" s="250"/>
      <x:c r="E11" s="251"/>
      <x:c r="F11" s="252"/>
      <x:c r="G11" s="258"/>
      <x:c r="H11" s="259"/>
      <x:c r="I11" s="259"/>
      <x:c r="J11" s="260"/>
      <x:c r="K11" s="261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 ht="12.75" customHeight="1">
      <x:c r="A12" s="262" t="s">
        <x:v>66</x:v>
      </x:c>
      <x:c r="B12" s="263" t="s">
        <x:v>67</x:v>
      </x:c>
      <x:c r="C12" s="263" t="s">
        <x:v>68</x:v>
      </x:c>
      <x:c r="D12" s="262" t="s">
        <x:v>69</x:v>
      </x:c>
      <x:c r="E12" s="263" t="s">
        <x:v>70</x:v>
      </x:c>
      <x:c r="F12" s="263" t="s">
        <x:v>71</x:v>
      </x:c>
      <x:c r="G12" s="263" t="s">
        <x:v>72</x:v>
      </x:c>
      <x:c r="H12" s="264" t="s">
        <x:v>73</x:v>
      </x:c>
      <x:c r="I12" s="265" t="s">
        <x:v>74</x:v>
      </x:c>
      <x:c r="J12" s="263" t="s">
        <x:v>75</x:v>
      </x:c>
      <x:c r="K12" s="266" t="s">
        <x:v>76</x:v>
      </x:c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ht="12.75" customHeight="1">
      <x:c r="A13" s="456" t="n">
        <x:v>1</x:v>
      </x:c>
      <x:c r="B13" s="457" t="n">
        <x:v>46217</x:v>
      </x:c>
      <x:c r="C13" s="458" t="str">
        <x:v>Nội bộ</x:v>
      </x:c>
      <x:c r="D13" s="458" t="str">
        <x:v>Khởi tạo</x:v>
      </x:c>
      <x:c r="E13" s="459" t="str">
        <x:v>Kick-off dự án</x:v>
      </x:c>
      <x:c r="F13" s="459" t="str">
        <x:v>Thống nhất phạm vi, mốc và kênh trao đổi</x:v>
      </x:c>
      <x:c r="G13" s="460" t="str">
        <x:v>Completed</x:v>
      </x:c>
      <x:c r="H13" s="457" t="n">
        <x:v>46217</x:v>
      </x:c>
      <x:c r="I13" s="457"/>
      <x:c r="J13" s="459" t="str">
        <x:v>PM</x:v>
      </x:c>
      <x:c r="K13" s="459" t="str">
        <x:v>Biên bản kick-off và charter</x:v>
      </x:c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 ht="12.75" customHeight="1">
      <x:c r="A14" s="456" t="n">
        <x:f t="shared" ref="A14:A19" si="2">A13+1</x:f>
        <x:v>2</x:v>
      </x:c>
      <x:c r="B14" s="457" t="n">
        <x:v>46217</x:v>
      </x:c>
      <x:c r="C14" s="458" t="str">
        <x:v>Nội bộ</x:v>
      </x:c>
      <x:c r="D14" s="458" t="str">
        <x:v>Phân tích</x:v>
      </x:c>
      <x:c r="E14" s="459" t="str">
        <x:v>Hoàn thiện backlog</x:v>
      </x:c>
      <x:c r="F14" s="461" t="str">
        <x:v>Rà soát SRS, business rules và acceptance criteria</x:v>
      </x:c>
      <x:c r="G14" s="460" t="str">
        <x:v>In Progress</x:v>
      </x:c>
      <x:c r="H14" s="457" t="n">
        <x:v>46226</x:v>
      </x:c>
      <x:c r="I14" s="462"/>
      <x:c r="J14" s="459" t="str">
        <x:v>BA</x:v>
      </x:c>
      <x:c r="K14" s="459" t="str">
        <x:v>Ưu tiên luồng FEFO và tenant isolation</x:v>
      </x:c>
      <x:c r="L14" s="219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 ht="12.75" customHeight="1">
      <x:c r="A15" s="456" t="n">
        <x:f t="shared" si="2"/>
        <x:v>3</x:v>
      </x:c>
      <x:c r="B15" s="457" t="n">
        <x:v>46217</x:v>
      </x:c>
      <x:c r="C15" s="458" t="str">
        <x:v>Nội bộ</x:v>
      </x:c>
      <x:c r="D15" s="458" t="str">
        <x:v>Kỹ thuật</x:v>
      </x:c>
      <x:c r="E15" s="459" t="str">
        <x:v>Chốt kiến trúc</x:v>
      </x:c>
      <x:c r="F15" s="461" t="str">
        <x:v>Xác nhận React, Spring Boot, MySQL, Redis và phương án triển khai</x:v>
      </x:c>
      <x:c r="G15" s="460" t="str">
        <x:v>In Progress</x:v>
      </x:c>
      <x:c r="H15" s="457" t="n">
        <x:v>46227</x:v>
      </x:c>
      <x:c r="I15" s="457"/>
      <x:c r="J15" s="459" t="str">
        <x:v>Tech Lead</x:v>
      </x:c>
      <x:c r="K15" s="459" t="str">
        <x:v>Cần chốt secrets và môi trường production</x:v>
      </x:c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 ht="12.75" customHeight="1">
      <x:c r="A16" s="456" t="n">
        <x:f t="shared" si="2"/>
        <x:v>4</x:v>
      </x:c>
      <x:c r="B16" s="457" t="n">
        <x:v>46217</x:v>
      </x:c>
      <x:c r="C16" s="458" t="str">
        <x:v>Nội bộ</x:v>
      </x:c>
      <x:c r="D16" s="458" t="str">
        <x:v>Chất lượng</x:v>
      </x:c>
      <x:c r="E16" s="459" t="str">
        <x:v>Kế hoạch kiểm thử</x:v>
      </x:c>
      <x:c r="F16" s="463" t="str">
        <x:v>Lập test matrix cho RBAC, multi-tenant và FEFO</x:v>
      </x:c>
      <x:c r="G16" s="460" t="str">
        <x:v>Not Started</x:v>
      </x:c>
      <x:c r="H16" s="457" t="n">
        <x:v>46234</x:v>
      </x:c>
      <x:c r="I16" s="457"/>
      <x:c r="J16" s="459" t="str">
        <x:v>QA</x:v>
      </x:c>
      <x:c r="K16" s="459" t="str">
        <x:v>Bao gồm race condition khi xuất kho</x:v>
      </x:c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 ht="12.75" customHeight="1">
      <x:c r="A17" s="456" t="n">
        <x:f t="shared" si="2"/>
        <x:v>5</x:v>
      </x:c>
      <x:c r="B17" s="457" t="n">
        <x:v>46217</x:v>
      </x:c>
      <x:c r="C17" s="458" t="str">
        <x:v>Ngoài dự án</x:v>
      </x:c>
      <x:c r="D17" s="458" t="str">
        <x:v>Nghiệp vụ</x:v>
      </x:c>
      <x:c r="E17" s="459" t="str">
        <x:v>Đại diện UAT</x:v>
      </x:c>
      <x:c r="F17" s="463" t="str">
        <x:v>Chỉ định Product Owner, quản lý cửa hàng và nhân viên kho thử nghiệm</x:v>
      </x:c>
      <x:c r="G17" s="458" t="str">
        <x:v>Not Started</x:v>
      </x:c>
      <x:c r="H17" s="457" t="n">
        <x:v>46224</x:v>
      </x:c>
      <x:c r="I17" s="457"/>
      <x:c r="J17" s="459" t="str">
        <x:v>Khách hàng</x:v>
      </x:c>
      <x:c r="K17" s="459" t="str">
        <x:v>Cần thông tin liên hệ</x:v>
      </x:c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 ht="12.75" customHeight="1">
      <x:c r="A18" s="456" t="n">
        <x:f t="shared" si="2"/>
        <x:v>6</x:v>
      </x:c>
      <x:c r="B18" s="457" t="n">
        <x:v>46217</x:v>
      </x:c>
      <x:c r="C18" s="458" t="str">
        <x:v>Nội bộ</x:v>
      </x:c>
      <x:c r="D18" s="458" t="str">
        <x:v>Hạ tầng</x:v>
      </x:c>
      <x:c r="E18" s="459" t="str">
        <x:v>Java 21 và dịch vụ phụ trợ</x:v>
      </x:c>
      <x:c r="F18" s="463" t="str">
        <x:v>Chuẩn bị JDK 21, MySQL 8, Redis và SMTP</x:v>
      </x:c>
      <x:c r="G18" s="458" t="str">
        <x:v>Not Started</x:v>
      </x:c>
      <x:c r="H18" s="457" t="n">
        <x:v>46237</x:v>
      </x:c>
      <x:c r="I18" s="457"/>
      <x:c r="J18" s="459" t="str">
        <x:v>DevOps</x:v>
      </x:c>
      <x:c r="K18" s="459" t="str">
        <x:v>Môi trường hiện tại cần nâng JDK</x:v>
      </x:c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 ht="12.75" customHeight="1">
      <x:c r="A19" s="456" t="n">
        <x:f t="shared" si="2"/>
        <x:v>7</x:v>
      </x:c>
      <x:c r="B19" s="457" t="n">
        <x:v>46217</x:v>
      </x:c>
      <x:c r="C19" s="458" t="str">
        <x:v>Nội bộ</x:v>
      </x:c>
      <x:c r="D19" s="458" t="str">
        <x:v>Bảo mật</x:v>
      </x:c>
      <x:c r="E19" s="459" t="str">
        <x:v>Kiểm tra cách ly tenant</x:v>
      </x:c>
      <x:c r="F19" s="464" t="str">
        <x:v>Xây dựng test truy cập chéo store và kiểm tra TenantContext.clear()</x:v>
      </x:c>
      <x:c r="G19" s="458" t="str">
        <x:v>Not Started</x:v>
      </x:c>
      <x:c r="H19" s="457" t="n">
        <x:v>46302</x:v>
      </x:c>
      <x:c r="I19" s="457"/>
      <x:c r="J19" s="459" t="str">
        <x:v>QA/Backend</x:v>
      </x:c>
      <x:c r="K19" s="465" t="str">
        <x:v>Tiêu chí bắt buộc trước UAT</x:v>
      </x:c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 ht="12.75" customHeight="1">
      <x:c r="A20" s="466" t="n">
        <x:v>8</x:v>
      </x:c>
      <x:c r="B20" s="457" t="n">
        <x:v>46217</x:v>
      </x:c>
      <x:c r="C20" s="458" t="str">
        <x:v>Nội bộ</x:v>
      </x:c>
      <x:c r="D20" s="458" t="str">
        <x:v>Triển khai</x:v>
      </x:c>
      <x:c r="E20" s="459" t="str">
        <x:v>Tài liệu vận hành</x:v>
      </x:c>
      <x:c r="F20" s="463" t="str">
        <x:v>Hoàn thiện hướng dẫn cấu hình, backup, restore và xử lý sự cố</x:v>
      </x:c>
      <x:c r="G20" s="458" t="str">
        <x:v>Not Started</x:v>
      </x:c>
      <x:c r="H20" s="457" t="n">
        <x:v>46308</x:v>
      </x:c>
      <x:c r="I20" s="457"/>
      <x:c r="J20" s="459" t="str">
        <x:v>DevOps/PM</x:v>
      </x:c>
      <x:c r="K20" s="467" t="str">
        <x:v>Bàn giao cùng mã nguồn</x:v>
      </x:c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 ht="12.75" customHeight="1">
      <x:c r="A21" s="466"/>
      <x:c r="B21" s="468"/>
      <x:c r="C21" s="458"/>
      <x:c r="D21" s="458"/>
      <x:c r="E21" s="459"/>
      <x:c r="F21" s="469"/>
      <x:c r="G21" s="458"/>
      <x:c r="H21" s="468"/>
      <x:c r="I21" s="470"/>
      <x:c r="J21" s="463"/>
      <x:c r="K21" s="463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 ht="12.75" customHeight="1">
      <x:c r="A22" s="466"/>
      <x:c r="B22" s="468"/>
      <x:c r="C22" s="458"/>
      <x:c r="D22" s="458"/>
      <x:c r="E22" s="459"/>
      <x:c r="F22" s="469"/>
      <x:c r="G22" s="458"/>
      <x:c r="H22" s="468"/>
      <x:c r="I22" s="470"/>
      <x:c r="J22" s="463"/>
      <x:c r="K22" s="463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 ht="12.75" customHeight="1">
      <x:c r="A23" s="466"/>
      <x:c r="B23" s="468"/>
      <x:c r="C23" s="458"/>
      <x:c r="D23" s="458"/>
      <x:c r="E23" s="459"/>
      <x:c r="F23" s="469"/>
      <x:c r="G23" s="458"/>
      <x:c r="H23" s="468"/>
      <x:c r="I23" s="470"/>
      <x:c r="J23" s="463"/>
      <x:c r="K23" s="463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 ht="12.75" customHeight="1">
      <x:c r="A24" s="466"/>
      <x:c r="B24" s="468"/>
      <x:c r="C24" s="458"/>
      <x:c r="D24" s="458"/>
      <x:c r="E24" s="459"/>
      <x:c r="F24" s="469"/>
      <x:c r="G24" s="458"/>
      <x:c r="H24" s="468"/>
      <x:c r="I24" s="471"/>
      <x:c r="J24" s="463"/>
      <x:c r="K24" s="459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 ht="12.75" customHeight="1">
      <x:c r="A25" s="466"/>
      <x:c r="B25" s="468"/>
      <x:c r="C25" s="458"/>
      <x:c r="D25" s="458"/>
      <x:c r="E25" s="459"/>
      <x:c r="F25" s="465"/>
      <x:c r="G25" s="458"/>
      <x:c r="H25" s="468"/>
      <x:c r="I25" s="472"/>
      <x:c r="J25" s="459"/>
      <x:c r="K25" s="4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 ht="12.75" customHeight="1">
      <x:c r="A26" s="466"/>
      <x:c r="B26" s="468"/>
      <x:c r="C26" s="458"/>
      <x:c r="D26" s="458"/>
      <x:c r="E26" s="459"/>
      <x:c r="F26" s="463"/>
      <x:c r="G26" s="458"/>
      <x:c r="H26" s="468"/>
      <x:c r="I26" s="470"/>
      <x:c r="J26" s="473"/>
      <x:c r="K26" s="459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 ht="12.75" customHeight="1">
      <x:c r="A27" s="466"/>
      <x:c r="B27" s="468"/>
      <x:c r="C27" s="458"/>
      <x:c r="D27" s="458"/>
      <x:c r="E27" s="459"/>
      <x:c r="F27" s="474"/>
      <x:c r="G27" s="458"/>
      <x:c r="H27" s="468"/>
      <x:c r="I27" s="470"/>
      <x:c r="J27" s="459"/>
      <x:c r="K27" s="4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 ht="12.75" customHeight="1">
      <x:c r="A28" s="466"/>
      <x:c r="B28" s="468"/>
      <x:c r="C28" s="458"/>
      <x:c r="D28" s="458"/>
      <x:c r="E28" s="459"/>
      <x:c r="F28" s="465"/>
      <x:c r="G28" s="458"/>
      <x:c r="H28" s="468"/>
      <x:c r="I28" s="470"/>
      <x:c r="J28" s="459"/>
      <x:c r="K28" s="4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 ht="12.75" customHeight="1">
      <x:c r="A29" s="466"/>
      <x:c r="B29" s="468"/>
      <x:c r="C29" s="458"/>
      <x:c r="D29" s="458"/>
      <x:c r="E29" s="459"/>
      <x:c r="F29" s="463"/>
      <x:c r="G29" s="458"/>
      <x:c r="H29" s="468"/>
      <x:c r="I29" s="472"/>
      <x:c r="J29" s="459"/>
      <x:c r="K29" s="459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 ht="12.75" customHeight="1">
      <x:c r="A30" s="475"/>
      <x:c r="B30" s="476"/>
      <x:c r="C30" s="477"/>
      <x:c r="D30" s="475"/>
      <x:c r="E30" s="476"/>
      <x:c r="F30" s="476"/>
      <x:c r="G30" s="476"/>
      <x:c r="H30" s="476"/>
      <x:c r="I30" s="476"/>
      <x:c r="J30" s="478"/>
      <x:c r="K30" s="476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 ht="12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12.7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12.7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12.7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12.7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12.7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12.7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12.7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12.7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12.7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12.7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12.7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12.7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12.7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12.7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12.7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12.7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12.7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12.7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2.7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2.7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2.7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2.7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2.7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2.7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2.7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2.7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2.7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2.7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2.7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2.7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2.7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2.7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2.7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2.7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2.7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2.7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2.7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2.7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2.7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2.7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2.7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2.7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2.7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2.7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2.7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2.7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2.7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2.7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2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2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2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2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2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2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2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2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2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2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2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2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2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2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2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2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2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2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2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2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2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2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2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2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2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2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2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2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2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2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2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2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2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2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2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2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2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2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2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2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2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2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2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2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2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2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2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2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2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2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2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2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2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2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2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2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2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2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2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2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2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2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2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2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2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2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2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2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2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2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2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2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2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2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2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2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2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2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2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2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2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2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2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2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2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2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2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2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2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2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2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2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2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2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2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2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2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2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2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2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2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2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2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2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2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2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2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2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2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2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2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2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2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2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2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2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2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2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2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2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2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2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2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2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2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2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2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2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2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2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2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2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2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2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2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2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2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2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2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2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2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2.75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 ht="12.75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 ht="12.75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 ht="12.75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 ht="12.75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 ht="12.75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 ht="12.7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 ht="12.75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 ht="12.75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 ht="12.75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 ht="12.75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 ht="12.75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 ht="12.75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 ht="12.75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 ht="12.75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 ht="12.75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 ht="12.75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 ht="12.75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 ht="12.75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 ht="12.75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 ht="12.75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 ht="12.75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 ht="12.75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 ht="12.75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 ht="12.75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 ht="12.75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 ht="12.75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 ht="12.75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 ht="12.75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 ht="12.75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 ht="12.75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 ht="12.75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 ht="12.75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 ht="12.75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 ht="12.75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 ht="12.75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 ht="12.75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 ht="12.75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 ht="12.75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 ht="12.75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 ht="12.75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 ht="12.75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 ht="12.75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 ht="12.75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 ht="12.75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 ht="12.75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 ht="12.75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 ht="12.75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 ht="12.75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 ht="12.75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 ht="12.75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 ht="12.75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 ht="12.75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 ht="12.75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 ht="12.75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 ht="12.75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 ht="12.75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 ht="12.75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 ht="12.75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 ht="12.75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 ht="12.75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 ht="12.75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 ht="12.75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 ht="12.75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 ht="12.75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 ht="12.75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 ht="12.75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 ht="12.75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 ht="12.75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 ht="12.75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 ht="12.75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 ht="12.75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 ht="12.75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 ht="12.75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 ht="12.75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 ht="12.75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 ht="12.75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 ht="12.75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 ht="12.75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 ht="12.75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 ht="12.75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 ht="12.75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 ht="12.75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 ht="12.75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 ht="12.75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 ht="12.75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 ht="12.75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 ht="12.75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 ht="12.75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 ht="12.75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 ht="12.75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 ht="12.75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 ht="12.75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 ht="12.75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 ht="12.7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 ht="12.7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 ht="12.7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 ht="12.7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 ht="12.7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 ht="12.7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 ht="12.7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 ht="12.7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 ht="12.7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 ht="12.7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 ht="12.7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 ht="12.7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 ht="12.7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 ht="12.7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 ht="12.7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 ht="12.7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 ht="12.7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 ht="12.7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 ht="12.7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 ht="12.7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 ht="12.7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 ht="12.7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 ht="12.7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 ht="12.7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 ht="12.7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 ht="12.7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 ht="12.7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 ht="12.7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 ht="12.7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 ht="12.7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 ht="12.75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 ht="12.75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 ht="12.75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 ht="12.75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 ht="12.75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 ht="12.75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 ht="12.75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 ht="12.75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 ht="12.75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 ht="12.75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 ht="12.75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 ht="12.75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 ht="12.75" customHeight="1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 ht="12.75" customHeight="1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 ht="12.75" customHeight="1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 ht="12.75" customHeight="1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 ht="12.75" customHeight="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 ht="12.75" customHeight="1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 ht="12.75" customHeight="1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 ht="12.75" customHeight="1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 ht="12.75" customHeight="1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 ht="12.75" customHeight="1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 ht="12.75" customHeight="1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 ht="12.75" customHeight="1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 ht="12.75" customHeight="1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 ht="12.75" customHeight="1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 ht="12.75" customHeight="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 ht="12.75" customHeight="1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 ht="12.75" customHeight="1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 ht="12.75" customHeight="1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 ht="12.75" customHeight="1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 ht="12.75" customHeight="1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 ht="12.75" customHeight="1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 ht="12.75" customHeight="1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 ht="12.75" customHeight="1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 ht="12.75" customHeight="1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 ht="12.75" customHeight="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 ht="12.75" customHeight="1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 ht="12.75" customHeight="1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 ht="12.75" customHeight="1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 ht="12.75" customHeight="1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 ht="12.75" customHeight="1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 ht="12.75" customHeight="1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 ht="12.75" customHeight="1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 ht="12.75" customHeight="1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 ht="12.75" customHeight="1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 ht="12.75" customHeight="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 ht="12.75" customHeight="1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 ht="12.75" customHeight="1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 ht="12.75" customHeight="1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 ht="12.75" customHeight="1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 ht="12.75" customHeight="1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 ht="12.75" customHeight="1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 ht="12.75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 ht="12.75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 ht="12.75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 ht="12.75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 ht="12.75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 ht="12.75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 ht="12.75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 ht="12.75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 ht="12.75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 ht="12.75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 ht="12.75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 ht="12.75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 ht="12.75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 ht="12.75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 ht="12.75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 ht="12.75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 ht="12.75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 ht="12.75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 ht="12.75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 ht="12.75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 ht="12.75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 ht="12.75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 ht="12.75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 ht="12.75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 ht="12.75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 ht="12.75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 ht="12.75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 ht="12.75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 ht="12.75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 ht="12.75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 ht="12.75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 ht="12.75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 ht="12.75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 ht="12.75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 ht="12.75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 ht="12.75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 ht="12.75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 ht="12.75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 ht="12.75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 ht="12.75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 ht="12.75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 ht="12.75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 ht="12.75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 ht="12.75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 ht="12.75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 ht="12.75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 ht="12.75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 ht="12.75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 ht="12.75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 ht="12.75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 ht="12.75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 ht="12.75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 ht="12.75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 ht="12.75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 ht="12.75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 ht="12.75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 ht="12.75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 ht="12.75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 ht="12.75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 ht="12.75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 ht="12.75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 ht="12.75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 ht="12.75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 ht="12.75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 ht="12.75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 ht="12.75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 ht="12.75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 ht="12.75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 ht="12.75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 ht="12.75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 ht="12.75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 ht="12.75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 ht="12.75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 ht="12.75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 ht="12.75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 ht="12.75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 ht="12.75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 ht="12.75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 ht="12.75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 ht="12.75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 ht="12.75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 ht="12.75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 ht="12.75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 ht="12.75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 ht="12.75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 ht="12.75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 ht="12.75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 ht="12.75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 ht="12.75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 ht="12.75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 ht="12.75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 ht="12.75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 ht="12.75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 ht="12.75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 ht="12.75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 ht="12.75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 ht="12.75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 ht="12.75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 ht="12.75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 ht="12.75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 ht="12.75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 ht="12.75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 ht="12.75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 ht="12.75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 ht="12.75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 ht="12.75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 ht="12.75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 ht="12.75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 ht="12.75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 ht="12.75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 ht="12.75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 ht="12.75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 ht="12.75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 ht="12.75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 ht="12.75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 ht="12.75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 ht="12.75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 ht="12.75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 ht="12.75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 ht="12.75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 ht="12.75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 ht="12.75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 ht="12.75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 ht="12.75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 ht="12.75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 ht="12.75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 ht="12.75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 ht="12.75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 ht="12.75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 ht="12.75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 ht="12.75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 ht="12.75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 ht="12.75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 ht="12.75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 ht="12.75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 ht="12.75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 ht="12.75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 ht="12.75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 ht="12.75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 ht="12.75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 ht="12.75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 ht="12.75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 ht="12.75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 ht="12.75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 ht="12.75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 ht="12.75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 ht="12.75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 ht="12.75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 ht="12.75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 ht="12.75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 ht="12.75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 ht="12.75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 ht="12.75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 ht="12.75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 ht="12.75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 ht="12.75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 ht="12.75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 ht="12.75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 ht="12.75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 ht="12.75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 ht="12.75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 ht="12.75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 ht="12.75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 ht="12.75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 ht="12.75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 ht="12.75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 ht="12.75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 ht="12.75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 ht="12.75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 ht="12.75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 ht="12.75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 ht="12.75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 ht="12.75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 ht="12.75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 ht="12.75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 ht="12.75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 ht="12.75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 ht="12.75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 ht="12.75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 ht="12.75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 ht="12.75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 ht="12.75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 ht="12.75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 ht="12.75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 ht="12.75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 ht="12.75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 ht="12.75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 ht="12.75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 ht="12.75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 ht="12.75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 ht="12.75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 ht="12.75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 ht="12.75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 ht="12.75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 ht="12.75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 ht="12.75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 ht="12.75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 ht="12.75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 ht="12.75" customHeight="1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 ht="12.75" customHeight="1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 ht="12.75" customHeight="1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 ht="12.75" customHeight="1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 ht="12.75" customHeight="1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 ht="12.75" customHeight="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 ht="12.75" customHeight="1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 ht="12.75" customHeight="1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 ht="12.75" customHeight="1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 ht="12.75" customHeight="1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 ht="12.75" customHeight="1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 ht="12.75" customHeight="1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 ht="12.75" customHeight="1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 ht="12.75" customHeight="1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 ht="12.75" customHeight="1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 ht="12.75" customHeight="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 ht="12.75" customHeight="1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 ht="12.75" customHeight="1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 ht="12.75" customHeight="1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 ht="12.75" customHeight="1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 ht="12.75" customHeight="1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 ht="12.75" customHeight="1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 ht="12.75" customHeight="1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 ht="12.75" customHeight="1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 ht="12.75" customHeight="1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 ht="12.75" customHeight="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 ht="12.75" customHeight="1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 ht="12.75" customHeight="1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 ht="12.75" customHeight="1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 ht="12.75" customHeight="1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 ht="12.75" customHeight="1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 ht="12.75" customHeight="1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 ht="12.75" customHeight="1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 ht="12.75" customHeight="1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 ht="12.75" customHeight="1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 ht="12.75" customHeight="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 ht="12.75" customHeight="1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 ht="12.75" customHeight="1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 ht="12.75" customHeight="1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 ht="12.75" customHeight="1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 ht="12.75" customHeight="1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 ht="12.75" customHeight="1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 ht="12.75" customHeight="1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 ht="12.75" customHeight="1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 ht="12.75" customHeight="1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 ht="12.75" customHeight="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 ht="12.75" customHeight="1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 ht="12.75" customHeight="1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 ht="12.75" customHeight="1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 ht="12.75" customHeight="1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 ht="12.75" customHeight="1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 ht="12.75" customHeight="1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 ht="12.75" customHeight="1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 ht="12.75" customHeight="1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 ht="12.75" customHeight="1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 ht="12.75" customHeight="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 ht="12.75" customHeight="1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 ht="12.75" customHeight="1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 ht="12.75" customHeight="1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 ht="12.75" customHeight="1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 ht="12.75" customHeight="1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 ht="12.75" customHeight="1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 ht="12.75" customHeight="1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 ht="12.75" customHeight="1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 ht="12.75" customHeight="1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 ht="12.75" customHeight="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 ht="12.75" customHeight="1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 ht="12.75" customHeight="1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 ht="12.75" customHeight="1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 ht="12.75" customHeight="1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 ht="12.75" customHeight="1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 ht="12.75" customHeight="1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 ht="12.75" customHeight="1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 ht="12.75" customHeight="1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 ht="12.75" customHeight="1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 ht="12.75" customHeight="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 ht="12.75" customHeight="1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 ht="12.75" customHeight="1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 ht="12.75" customHeight="1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 ht="12.75" customHeight="1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 ht="12.75" customHeight="1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 ht="12.75" customHeight="1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 ht="12.75" customHeight="1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 ht="12.75" customHeight="1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 ht="12.75" customHeight="1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 ht="12.75" customHeight="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 ht="12.75" customHeight="1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 ht="12.75" customHeight="1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 ht="12.75" customHeight="1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 ht="12.75" customHeight="1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 ht="12.75" customHeight="1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 ht="12.75" customHeight="1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 ht="12.75" customHeight="1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 ht="12.75" customHeight="1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 ht="12.75" customHeight="1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 ht="12.75" customHeight="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 ht="12.75" customHeight="1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 ht="12.75" customHeight="1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 ht="12.75" customHeight="1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 ht="12.75" customHeight="1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 ht="12.75" customHeight="1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 ht="12.75" customHeight="1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 ht="12.75" customHeight="1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 ht="12.75" customHeight="1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 ht="12.75" customHeight="1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 ht="12.75" customHeight="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 ht="12.75" customHeight="1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 ht="12.75" customHeight="1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 ht="12.75" customHeight="1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 ht="12.75" customHeight="1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 ht="12.75" customHeight="1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 ht="12.75" customHeight="1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 ht="12.75" customHeight="1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 ht="12.75" customHeight="1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 ht="12.75" customHeight="1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 ht="12.75" customHeight="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 ht="12.75" customHeight="1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 ht="12.75" customHeight="1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 ht="12.75" customHeight="1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 ht="12.75" customHeight="1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 ht="12.75" customHeight="1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 ht="12.75" customHeight="1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 ht="12.75" customHeight="1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 ht="12.75" customHeight="1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 ht="12.75" customHeight="1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 ht="12.75" customHeight="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 ht="12.75" customHeight="1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 ht="12.75" customHeight="1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 ht="12.75" customHeight="1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 ht="12.75" customHeight="1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 ht="12.75" customHeight="1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 ht="12.75" customHeight="1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 ht="12.75" customHeight="1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 ht="12.75" customHeight="1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 ht="12.75" customHeight="1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 ht="12.75" customHeight="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 ht="12.75" customHeight="1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 ht="12.75" customHeight="1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 ht="12.75" customHeight="1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 ht="12.75" customHeight="1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 ht="12.75" customHeight="1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 ht="12.75" customHeight="1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 ht="12.75" customHeight="1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 ht="12.75" customHeight="1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 ht="12.75" customHeight="1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 ht="12.75" customHeight="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 ht="12.75" customHeight="1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 ht="12.75" customHeight="1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 ht="12.75" customHeight="1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 ht="12.75" customHeight="1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 ht="12.75" customHeight="1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 ht="12.75" customHeight="1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 ht="12.75" customHeight="1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 ht="12.75" customHeight="1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 ht="12.75" customHeight="1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 ht="12.75" customHeight="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 ht="12.75" customHeight="1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 ht="12.75" customHeight="1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 ht="12.75" customHeight="1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 ht="12.75" customHeight="1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 ht="12.75" customHeight="1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 ht="12.75" customHeight="1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 ht="12.75" customHeight="1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 ht="12.75" customHeight="1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 ht="12.75" customHeight="1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 ht="12.75" customHeight="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 ht="12.75" customHeight="1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 ht="12.75" customHeight="1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 ht="12.75" customHeight="1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 ht="12.75" customHeight="1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 ht="12.75" customHeight="1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 ht="12.75" customHeight="1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 ht="12.75" customHeight="1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 ht="12.75" customHeight="1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 ht="12.75" customHeight="1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 ht="12.75" customHeight="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 ht="12.75" customHeight="1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 ht="12.75" customHeight="1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 ht="12.75" customHeight="1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 ht="12.75" customHeight="1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 ht="12.75" customHeight="1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 ht="12.75" customHeight="1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 ht="12.75" customHeight="1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 ht="12.75" customHeight="1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 ht="12.75" customHeight="1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 ht="12.75" customHeight="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 ht="12.75" customHeight="1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 ht="12.75" customHeight="1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 ht="12.75" customHeight="1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 ht="12.75" customHeight="1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 ht="12.75" customHeight="1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 ht="12.75" customHeight="1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 ht="12.75" customHeight="1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 ht="12.75" customHeight="1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 ht="12.75" customHeight="1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 ht="12.75" customHeight="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 ht="12.75" customHeight="1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 ht="12.75" customHeight="1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 ht="12.75" customHeight="1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 ht="12.75" customHeight="1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 ht="12.75" customHeight="1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 ht="12.75" customHeight="1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 ht="12.75" customHeight="1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 ht="12.75" customHeight="1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 ht="12.75" customHeight="1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 ht="12.75" customHeight="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 ht="12.75" customHeight="1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 ht="12.75" customHeight="1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 ht="12.75" customHeight="1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 ht="12.75" customHeight="1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 ht="12.75" customHeight="1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 ht="12.75" customHeight="1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 ht="12.75" customHeight="1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 ht="12.75" customHeight="1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 ht="12.75" customHeight="1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 ht="12.75" customHeight="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 ht="12.75" customHeight="1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 ht="12.75" customHeight="1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 ht="12.75" customHeight="1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 ht="12.75" customHeight="1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 ht="12.75" customHeight="1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 ht="12.75" customHeight="1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 ht="12.75" customHeight="1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 ht="12.75" customHeight="1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 ht="12.75" customHeight="1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 ht="12.75" customHeight="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 ht="12.75" customHeight="1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 ht="12.75" customHeight="1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 ht="12.75" customHeight="1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 ht="12.75" customHeight="1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 ht="12.75" customHeight="1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 ht="12.75" customHeight="1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 ht="12.75" customHeight="1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 ht="12.75" customHeight="1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 ht="12.75" customHeight="1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 ht="12.75" customHeight="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 ht="12.75" customHeight="1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 ht="12.75" customHeight="1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 ht="12.75" customHeight="1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 ht="12.75" customHeight="1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 ht="12.75" customHeight="1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 ht="12.75" customHeight="1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 ht="12.75" customHeight="1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 ht="12.75" customHeight="1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 ht="12.75" customHeight="1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 ht="12.75" customHeight="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 ht="12.75" customHeight="1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 ht="12.75" customHeight="1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 ht="12.75" customHeight="1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 ht="12.75" customHeight="1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 ht="12.75" customHeight="1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 ht="12.75" customHeight="1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 ht="12.75" customHeight="1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 ht="12.75" customHeight="1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 ht="12.75" customHeight="1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 ht="12.75" customHeight="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 ht="12.75" customHeight="1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 ht="12.75" customHeight="1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 ht="12.75" customHeight="1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 ht="12.75" customHeight="1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 ht="12.75" customHeight="1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 ht="12.75" customHeight="1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 ht="12.75" customHeight="1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 ht="12.75" customHeight="1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 ht="12.75" customHeight="1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 ht="12.75" customHeight="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 ht="12.75" customHeight="1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 ht="12.75" customHeight="1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 ht="12.75" customHeight="1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 ht="12.75" customHeight="1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 ht="12.75" customHeight="1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 ht="12.75" customHeight="1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 ht="12.75" customHeight="1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 ht="12.75" customHeight="1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 ht="12.75" customHeight="1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 ht="12.75" customHeight="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 ht="12.75" customHeight="1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 ht="12.75" customHeight="1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 ht="12.75" customHeight="1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 ht="12.75" customHeight="1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 ht="12.75" customHeight="1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 ht="12.75" customHeight="1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 ht="12.75" customHeight="1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 ht="12.75" customHeight="1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 ht="12.75" customHeight="1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 ht="12.75" customHeight="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 ht="12.75" customHeight="1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 ht="12.75" customHeight="1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 ht="12.75" customHeight="1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 ht="12.75" customHeight="1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 ht="12.75" customHeight="1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 ht="12.75" customHeight="1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 ht="12.75" customHeight="1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 ht="12.75" customHeight="1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 ht="12.75" customHeight="1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 ht="12.75" customHeight="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 ht="12.75" customHeight="1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 ht="12.75" customHeight="1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 ht="12.75" customHeight="1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 ht="12.75" customHeight="1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 ht="12.75" customHeight="1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 ht="12.75" customHeight="1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 ht="12.75" customHeight="1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 ht="12.75" customHeight="1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 ht="12.75" customHeight="1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 ht="12.75" customHeight="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 ht="12.75" customHeight="1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 ht="12.75" customHeight="1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 ht="12.75" customHeight="1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 ht="12.75" customHeight="1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 ht="12.75" customHeight="1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 ht="12.75" customHeight="1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 ht="12.75" customHeight="1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 ht="12.75" customHeight="1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 ht="12.75" customHeight="1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 ht="12.75" customHeight="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 ht="12.75" customHeight="1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 ht="12.75" customHeight="1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 ht="12.75" customHeight="1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 ht="12.75" customHeight="1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 ht="12.75" customHeight="1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 ht="12.75" customHeight="1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 ht="12.75" customHeight="1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 ht="12.75" customHeight="1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 ht="12.75" customHeight="1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 ht="12.75" customHeight="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 ht="12.75" customHeight="1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 ht="12.75" customHeight="1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 ht="12.75" customHeight="1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 ht="12.75" customHeight="1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 ht="12.75" customHeight="1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 ht="12.75" customHeight="1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 ht="12.75" customHeight="1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 ht="12.75" customHeight="1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 ht="12.75" customHeight="1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 ht="12.75" customHeight="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 ht="12.75" customHeight="1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 ht="12.75" customHeight="1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 ht="12.75" customHeight="1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 ht="12.75" customHeight="1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 ht="12.75" customHeight="1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 ht="12.75" customHeight="1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 ht="12.75" customHeight="1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 ht="12.75" customHeight="1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 ht="12.75" customHeight="1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 ht="12.75" customHeight="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 ht="12.75" customHeight="1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 ht="12.75" customHeight="1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 ht="12.75" customHeight="1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 ht="12.75" customHeight="1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 ht="12.75" customHeight="1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 ht="12.75" customHeight="1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 ht="12.75" customHeight="1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 ht="12.75" customHeight="1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 ht="12.75" customHeight="1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 ht="12.75" customHeight="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 ht="12.75" customHeight="1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 ht="12.75" customHeight="1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 ht="12.75" customHeight="1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 ht="12.75" customHeight="1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 ht="12.75" customHeight="1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 ht="12.75" customHeight="1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 ht="12.75" customHeight="1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 ht="12.75" customHeight="1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 ht="12.75" customHeight="1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 ht="12.75" customHeight="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 ht="12.75" customHeight="1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 ht="12.75" customHeight="1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 ht="12.75" customHeight="1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 ht="12.75" customHeight="1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 ht="12.75" customHeight="1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 ht="12.75" customHeight="1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 ht="12.75" customHeight="1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 ht="12.75" customHeight="1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 ht="12.75" customHeight="1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 ht="12.75" customHeight="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 ht="12.75" customHeight="1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 ht="12.75" customHeight="1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 ht="12.75" customHeight="1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 ht="12.75" customHeight="1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 ht="12.75" customHeight="1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 ht="12.75" customHeight="1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 ht="12.75" customHeight="1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 ht="12.75" customHeight="1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 ht="12.75" customHeight="1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 ht="12.75" customHeight="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 ht="12.75" customHeight="1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 ht="12.75" customHeight="1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 ht="12.75" customHeight="1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 ht="12.75" customHeight="1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 ht="12.75" customHeight="1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 ht="12.75" customHeight="1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 ht="12.75" customHeight="1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 ht="12.75" customHeight="1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 ht="12.75" customHeight="1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 ht="12.75" customHeight="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 ht="12.75" customHeight="1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 ht="12.75" customHeight="1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 ht="12.75" customHeight="1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 ht="12.75" customHeight="1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 ht="12.75" customHeight="1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 ht="12.75" customHeight="1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 ht="12.75" customHeight="1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 ht="12.75" customHeight="1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 ht="12.75" customHeight="1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</x:sheetData>
  <x:mergeCells>
    <x:mergeCell ref="F3:H3"/>
    <x:mergeCell ref="I3:J3"/>
  </x:mergeCells>
  <x:conditionalFormatting sqref="G13:G29">
    <x:cfRule type="containsText" dxfId="6" priority="1" operator="containsText" text="Dropped">
      <x:formula>NOT(ISERROR(SEARCH(("Dropped"),(G13))))</x:formula>
    </x:cfRule>
  </x:conditionalFormatting>
  <x:conditionalFormatting sqref="G13:G29">
    <x:cfRule type="containsText" dxfId="7" priority="2" operator="containsText" text="Delay &gt; 1 week">
      <x:formula>NOT(ISERROR(SEARCH(("Delay &gt; 1 week"),(G13))))</x:formula>
    </x:cfRule>
  </x:conditionalFormatting>
  <x:conditionalFormatting sqref="G13:G29">
    <x:cfRule type="containsText" dxfId="0" priority="3" operator="containsText" text="Delay &lt; 1 week">
      <x:formula>NOT(ISERROR(SEARCH(("Delay &lt; 1 week"),(G13))))</x:formula>
    </x:cfRule>
  </x:conditionalFormatting>
  <x:conditionalFormatting sqref="G13:G29">
    <x:cfRule type="containsText" dxfId="8" priority="4" operator="containsText" text="Completed">
      <x:formula>NOT(ISERROR(SEARCH(("Completed"),(G13))))</x:formula>
    </x:cfRule>
  </x:conditionalFormatting>
  <x:conditionalFormatting sqref="G13:G29">
    <x:cfRule type="containsText" dxfId="1" priority="5" operator="containsText" text="In Progress">
      <x:formula>NOT(ISERROR(SEARCH(("In Progress"),(G13))))</x:formula>
    </x:cfRule>
  </x:conditionalFormatting>
  <x:conditionalFormatting sqref="G13:G29">
    <x:cfRule type="containsText" dxfId="9" priority="6" operator="containsText" text="Not Start">
      <x:formula>NOT(ISERROR(SEARCH(("Not Start"),(G13))))</x:formula>
    </x:cfRule>
  </x:conditionalFormatting>
  <x:conditionalFormatting sqref="G16:G22 G24:G29">
    <x:cfRule type="cellIs" dxfId="10" priority="7" operator="equal">
      <x:formula>#REF!</x:formula>
    </x:cfRule>
  </x:conditionalFormatting>
  <x:conditionalFormatting sqref="G16:G22 G24:G29">
    <x:cfRule type="cellIs" dxfId="11" priority="8" operator="equal">
      <x:formula>$J$8</x:formula>
    </x:cfRule>
  </x:conditionalFormatting>
  <x:conditionalFormatting sqref="G16:G22 G24:G29">
    <x:cfRule type="cellIs" dxfId="12" priority="9" operator="equal">
      <x:formula>$J$7</x:formula>
    </x:cfRule>
  </x:conditionalFormatting>
  <x:conditionalFormatting sqref="G16:G22 G24:G29">
    <x:cfRule type="cellIs" dxfId="13" priority="10" operator="equal">
      <x:formula>$J$6</x:formula>
    </x:cfRule>
  </x:conditionalFormatting>
  <x:conditionalFormatting sqref="G16:G22 G24:G29">
    <x:cfRule type="cellIs" dxfId="14" priority="11" operator="equal">
      <x:formula>$J$5</x:formula>
    </x:cfRule>
  </x:conditionalFormatting>
  <x:conditionalFormatting sqref="G16:G22 G24:G29">
    <x:cfRule type="cellIs" dxfId="15" priority="12" operator="equal">
      <x:formula>$J$4</x:formula>
    </x:cfRule>
  </x:conditionalFormatting>
  <x:conditionalFormatting sqref="G23:G23">
    <x:cfRule type="cellIs" dxfId="10" priority="13" operator="equal">
      <x:formula>#REF!</x:formula>
    </x:cfRule>
  </x:conditionalFormatting>
  <x:conditionalFormatting sqref="G23:G23">
    <x:cfRule type="cellIs" dxfId="11" priority="14" operator="equal">
      <x:formula>$J$8</x:formula>
    </x:cfRule>
  </x:conditionalFormatting>
  <x:conditionalFormatting sqref="G23:G23">
    <x:cfRule type="cellIs" dxfId="12" priority="15" operator="equal">
      <x:formula>$J$7</x:formula>
    </x:cfRule>
  </x:conditionalFormatting>
  <x:conditionalFormatting sqref="G23:G23">
    <x:cfRule type="cellIs" dxfId="13" priority="16" operator="equal">
      <x:formula>$J$6</x:formula>
    </x:cfRule>
  </x:conditionalFormatting>
  <x:conditionalFormatting sqref="G23:G23">
    <x:cfRule type="cellIs" dxfId="14" priority="17" operator="equal">
      <x:formula>$J$5</x:formula>
    </x:cfRule>
  </x:conditionalFormatting>
  <x:conditionalFormatting sqref="G23:G23">
    <x:cfRule type="cellIs" dxfId="15" priority="18" operator="equal">
      <x:formula>$J$4</x:formula>
    </x:cfRule>
  </x:conditionalFormatting>
  <x:dataValidations count="1">
    <x:dataValidation type="list" allowBlank="1" showErrorMessage="1" sqref="G17:G29">
      <x:formula1>'7. Cập nhật tiến độ'!ATS</x:formula1>
    </x:dataValidation>
  </x:dataValidations>
  <x:pageMargins left="0.7" right="0.7" top="0.75" bottom="0.75" header="0.3" footer="0.3"/>
</x:worksheet>
</file>